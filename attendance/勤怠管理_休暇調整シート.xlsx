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  <sheet name="休暇申請" sheetId="2" state="visible" r:id="rId2"/>
    <sheet name="有給管理" sheetId="3" state="visible" r:id="rId3"/>
    <sheet name="設定" sheetId="4" state="visible" r:id="rId4"/>
    <sheet name="使い方" sheetId="5" state="visible" r:id="rId5"/>
  </sheets>
  <definedNames>
    <definedName name="STAFF_NAMES">設定!$B$5:$B$10</definedName>
    <definedName name="STAFF_WD">設定!$D$3:$J$10</definedName>
    <definedName name="BIZ_TABLE">設定!$D$14:$J$16</definedName>
    <definedName name="HOLIDAYS">設定!$N$5:$N$80</definedName>
    <definedName name="MIN_ALL">設定!$C$19</definedName>
    <definedName name="MIN_FT">設定!$C$20</definedName>
    <definedName name="SYM_TBL">設定!$B$25:$D$33</definedName>
    <definedName name="LOG_NAME">休暇申請!$C$5:$C$124</definedName>
    <definedName name="LOG_DATE">休暇申請!$D$5:$D$124</definedName>
    <definedName name="LOG_SYM">休暇申請!$E$5:$E$124</definedName>
    <definedName name="LOG_STATE">休暇申請!$G$5:$G$124</definedName>
    <definedName name="KEYTAB_A">休暇申請!$L$5:$N$124</definedName>
    <definedName name="KEYTAB_P">休暇申請!$M$5:$N$124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/m/d"/>
    <numFmt numFmtId="167" formatCode="d"/>
    <numFmt numFmtId="168" formatCode="0.#"/>
  </numFmts>
  <fonts count="13">
    <font>
      <name val="Calibri"/>
      <family val="2"/>
      <color theme="1"/>
      <sz val="11"/>
      <scheme val="minor"/>
    </font>
    <font>
      <name val="Meiryo"/>
      <b val="1"/>
      <color rgb="001C1C3A"/>
      <sz val="16"/>
    </font>
    <font>
      <name val="Meiryo"/>
      <color rgb="008A8078"/>
      <sz val="9"/>
    </font>
    <font>
      <name val="Meiryo"/>
      <b val="1"/>
      <color rgb="001C1C3A"/>
      <sz val="11"/>
    </font>
    <font>
      <name val="Meiryo"/>
      <color rgb="00BBBBBB"/>
      <sz val="8"/>
    </font>
    <font>
      <name val="Meiryo"/>
      <b val="1"/>
      <color rgb="00FFFFFF"/>
      <sz val="10"/>
    </font>
    <font>
      <name val="Meiryo"/>
      <color rgb="00000000"/>
      <sz val="10"/>
    </font>
    <font>
      <name val="Meiryo"/>
      <color rgb="008A8078"/>
      <sz val="10"/>
    </font>
    <font>
      <name val="Meiryo"/>
      <b val="1"/>
      <color rgb="00000000"/>
      <sz val="10"/>
    </font>
    <font>
      <name val="Meiryo"/>
      <color rgb="00BBBBBB"/>
      <sz val="10"/>
    </font>
    <font>
      <name val="Meiryo"/>
      <color rgb="00008000"/>
      <sz val="10"/>
    </font>
    <font>
      <name val="Meiryo"/>
      <b val="1"/>
      <color rgb="00008000"/>
      <sz val="10"/>
    </font>
    <font>
      <name val="Meiryo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C1C3A"/>
      </patternFill>
    </fill>
    <fill>
      <patternFill patternType="solid">
        <fgColor rgb="00FFF6DD"/>
      </patternFill>
    </fill>
    <fill>
      <patternFill patternType="solid">
        <fgColor rgb="00F2EDE4"/>
      </patternFill>
    </fill>
    <fill>
      <patternFill patternType="solid">
        <fgColor rgb="00F3F3F3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D9D9D9"/>
      </patternFill>
    </fill>
    <fill>
      <patternFill patternType="solid">
        <fgColor rgb="00E8630A"/>
      </patternFill>
    </fill>
  </fills>
  <borders count="6">
    <border>
      <left/>
      <right/>
      <top/>
      <bottom/>
      <diagonal/>
    </border>
    <border>
      <left style="thin">
        <color rgb="00E0D9CE"/>
      </left>
      <right style="thin">
        <color rgb="00E0D9CE"/>
      </right>
      <top style="thin">
        <color rgb="00E0D9CE"/>
      </top>
      <bottom style="thin">
        <color rgb="00E0D9CE"/>
      </bottom>
    </border>
    <border>
      <left/>
      <right/>
      <top style="thin">
        <color rgb="00E0D9CE"/>
      </top>
      <bottom/>
      <diagonal/>
    </border>
    <border>
      <left/>
      <right style="thin">
        <color rgb="00E0D9CE"/>
      </right>
      <top style="thin">
        <color rgb="00E0D9CE"/>
      </top>
      <bottom/>
      <diagonal/>
    </border>
    <border>
      <left/>
      <right style="thin">
        <color rgb="00E0D9CE"/>
      </right>
      <top style="thin">
        <color rgb="00E0D9CE"/>
      </top>
      <bottom style="thin">
        <color rgb="00E0D9CE"/>
      </bottom>
      <diagonal/>
    </border>
    <border>
      <left/>
      <right/>
      <top style="thin">
        <color rgb="00E0D9CE"/>
      </top>
      <bottom style="thin">
        <color rgb="00E0D9CE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4" borderId="1" applyAlignment="1" pivotButton="0" quotePrefix="0" xfId="0">
      <alignment horizontal="center" vertical="center"/>
    </xf>
    <xf numFmtId="1" fontId="8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5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0" fontId="12" fillId="9" borderId="0" applyAlignment="1" pivotButton="0" quotePrefix="0" xfId="0">
      <alignment horizontal="center"/>
    </xf>
    <xf numFmtId="0" fontId="12" fillId="1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167" fontId="8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11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8" fillId="4" borderId="1" pivotButton="0" quotePrefix="0" xfId="0"/>
    <xf numFmtId="168" fontId="8" fillId="5" borderId="1" applyAlignment="1" pivotButton="0" quotePrefix="0" xfId="0">
      <alignment horizontal="center" vertical="center"/>
    </xf>
    <xf numFmtId="0" fontId="6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6" fontId="6" fillId="3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0" fontId="7" fillId="3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6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pivotButton="0" quotePrefix="0" xfId="0"/>
    <xf numFmtId="0" fontId="9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8" fillId="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11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14">
    <dxf>
      <fill>
        <patternFill patternType="solid">
          <fgColor rgb="00D9D9D9"/>
        </patternFill>
      </fill>
    </dxf>
    <dxf>
      <font>
        <name val="Meiryo"/>
        <b val="1"/>
        <color rgb="00C0392B"/>
      </font>
    </dxf>
    <dxf>
      <font>
        <name val="Meiryo"/>
        <b val="1"/>
        <color rgb="002E86C1"/>
      </font>
    </dxf>
    <dxf>
      <fill>
        <patternFill patternType="solid">
          <fgColor rgb="00FDEBD0"/>
        </patternFill>
      </fill>
    </dxf>
    <dxf>
      <font>
        <name val="Meiryo"/>
        <b val="1"/>
        <color rgb="00922B21"/>
      </font>
      <fill>
        <patternFill patternType="solid">
          <fgColor rgb="00FADBD8"/>
        </patternFill>
      </fill>
    </dxf>
    <dxf>
      <fill>
        <patternFill patternType="solid">
          <fgColor rgb="00FCF3CF"/>
        </patternFill>
      </fill>
    </dxf>
    <dxf>
      <fill>
        <patternFill patternType="solid">
          <fgColor rgb="00D6EAF8"/>
        </patternFill>
      </fill>
    </dxf>
    <dxf>
      <font>
        <name val="Meiryo"/>
        <color rgb="00BBBBBB"/>
      </font>
    </dxf>
    <dxf>
      <fill>
        <patternFill patternType="solid">
          <fgColor rgb="00F3F3F3"/>
        </patternFill>
      </fill>
    </dxf>
    <dxf>
      <font>
        <name val="Meiryo"/>
        <b val="1"/>
        <color rgb="00FFFFFF"/>
      </font>
      <fill>
        <patternFill patternType="solid">
          <fgColor rgb="00E74C3C"/>
        </patternFill>
      </fill>
    </dxf>
    <dxf>
      <fill>
        <patternFill patternType="solid">
          <fgColor rgb="00D5F5E3"/>
        </patternFill>
      </fill>
    </dxf>
    <dxf>
      <font>
        <name val="Meiryo"/>
        <b val="1"/>
        <color rgb="00FFFFFF"/>
      </font>
      <fill>
        <patternFill patternType="solid">
          <fgColor rgb="00F39C12"/>
        </patternFill>
      </fill>
    </dxf>
    <dxf>
      <fill>
        <patternFill patternType="solid">
          <fgColor rgb="00FFF6DD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630A"/>
    <outlinePr summaryBelow="1" summaryRight="1"/>
    <pageSetUpPr/>
  </sheetPr>
  <dimension ref="B1:AN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2" customWidth="1" min="35" max="35"/>
    <col width="8" customWidth="1" min="36" max="36"/>
    <col width="8" customWidth="1" min="37" max="37"/>
    <col width="8" customWidth="1" min="38" max="38"/>
    <col width="8" customWidth="1" min="39" max="39"/>
    <col width="10" customWidth="1" min="40" max="40"/>
  </cols>
  <sheetData>
    <row r="1">
      <c r="B1" s="1" t="inlineStr">
        <is>
          <t>シフト表（自動）</t>
        </is>
      </c>
    </row>
    <row r="2">
      <c r="B2" s="2" t="inlineStr">
        <is>
          <t>年と月を変えるだけ。休暇申請の内容が自動で入る。( ) 付きは申請中。空欄 = 通常出勤、－ = その人の勤務曜日ではない日。</t>
        </is>
      </c>
    </row>
    <row r="3">
      <c r="B3" s="3" t="inlineStr">
        <is>
          <t>年</t>
        </is>
      </c>
      <c r="C3" s="4" t="n">
        <v>2026</v>
      </c>
      <c r="D3" s="3" t="inlineStr">
        <is>
          <t>月</t>
        </is>
      </c>
      <c r="E3" s="4" t="n">
        <v>9</v>
      </c>
      <c r="F3" s="5" t="n"/>
      <c r="H3" s="3" t="inlineStr">
        <is>
          <t>最低出勤</t>
        </is>
      </c>
      <c r="I3" s="6" t="n"/>
      <c r="J3" s="5" t="n"/>
      <c r="K3" s="7">
        <f>MIN_ALL</f>
        <v/>
      </c>
      <c r="L3" s="3" t="inlineStr">
        <is>
          <t>最低正社員</t>
        </is>
      </c>
      <c r="M3" s="6" t="n"/>
      <c r="N3" s="6" t="n"/>
      <c r="O3" s="5" t="n"/>
      <c r="P3" s="7">
        <f>MIN_FT</f>
        <v/>
      </c>
      <c r="AJ3" s="8" t="inlineStr">
        <is>
          <t>有/休/特/代/欠</t>
        </is>
      </c>
      <c r="AK3" s="9" t="inlineStr">
        <is>
          <t>午前/午後</t>
        </is>
      </c>
      <c r="AL3" s="10" t="inlineStr">
        <is>
          <t>在/外</t>
        </is>
      </c>
      <c r="AM3" s="11" t="inlineStr">
        <is>
          <t>(申請中)</t>
        </is>
      </c>
      <c r="AN3" s="12" t="inlineStr">
        <is>
          <t>休業日</t>
        </is>
      </c>
    </row>
    <row r="5">
      <c r="B5" s="13" t="inlineStr">
        <is>
          <t>氏名</t>
        </is>
      </c>
      <c r="C5" s="13" t="inlineStr">
        <is>
          <t>区分</t>
        </is>
      </c>
      <c r="D5" s="14">
        <f t="array" ref="D5:AH5">IF(DATE($C$3,$E$3,1)+COLUMN(D$5:AH$5)-COLUMN($D$5)&gt;EOMONTH(DATE($C$3,$E$3,1),0),"",DATE($C$3,$E$3,1)+COLUMN(D$5:AH$5)-COLUMN($D$5))</f>
        <v/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J5" s="13" t="inlineStr">
        <is>
          <t>所定日数</t>
        </is>
      </c>
      <c r="AK5" s="13" t="inlineStr">
        <is>
          <t>出勤日数</t>
        </is>
      </c>
      <c r="AL5" s="13" t="inlineStr">
        <is>
          <t>休暇日数</t>
        </is>
      </c>
      <c r="AM5" s="13" t="inlineStr">
        <is>
          <t>有給日数</t>
        </is>
      </c>
    </row>
    <row r="6">
      <c r="D6" s="15">
        <f t="array" ref="D6:AH6">IF(D$5:AH$5="","",MID("月火水木金土日",WEEKDAY(D$5:AH$5,2),1))</f>
        <v/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</row>
    <row r="7">
      <c r="D7" s="16">
        <f t="array" ref="D7:AH7">IF(D$5:AH$5="","",IF((HLOOKUP(WEEKDAY(D$5:AH$5,2),BIZ_TABLE,2,0)="×")+(COUNTIF(HOLIDAYS,D$5:AH$5)&gt;0)&gt;0,"休業",""))</f>
        <v/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</row>
    <row r="8">
      <c r="B8" s="17">
        <f t="shared" ref="B8:B13" si="0">IF(設定!B5="","",設定!B5)</f>
        <v/>
      </c>
      <c r="C8" s="18">
        <f t="shared" ref="C8:C13" si="1">IF(設定!C5="","",設定!C5)</f>
        <v/>
      </c>
      <c r="D8" s="19">
        <f t="array" ref="D8:AH8">IF($B8="","",IF(D$5:AH$5="","",IF(D$7:AH$7="休業","",IF(HLOOKUP(WEEKDAY(D$5:AH$5,2),STAFF_WD,MATCH($B8,STAFF_NAMES,0)+2,0)="×","－",IFERROR(VLOOKUP($B8&amp;"|"&amp;TEXT(D$5:AH$5,"yyyymmdd"),KEYTAB_A,3,0),IFERROR("("&amp;VLOOKUP($B8&amp;"|"&amp;TEXT(D$5:AH$5,"yyyymmdd"),KEYTAB_P,2,0)&amp;")",""))))))</f>
        <v/>
      </c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J8" s="20">
        <f t="shared" ref="AJ8:AJ13" si="2">IF($B8="","",COUNT(D23:AH23))</f>
        <v/>
      </c>
      <c r="AK8" s="21">
        <f t="shared" ref="AK8:AK13" si="3">IF($B8="","",SUM(D23:AH23))</f>
        <v/>
      </c>
      <c r="AL8" s="21">
        <f t="shared" ref="AL8:AL13" si="4">IF($B8="","",AJ8-AK8)</f>
        <v/>
      </c>
      <c r="AM8" s="21">
        <f t="shared" ref="AM8:AM13" si="5">IF($B8="","",COUNTIF(D8:AH8,"有")+0.5*(COUNTIF(D8:AH8,"午前")+COUNTIF(D8:AH8,"午後")))</f>
        <v/>
      </c>
    </row>
    <row r="9">
      <c r="B9" s="17">
        <f t="shared" si="0"/>
        <v/>
      </c>
      <c r="C9" s="18">
        <f t="shared" si="1"/>
        <v/>
      </c>
      <c r="D9" s="19">
        <f t="array" ref="D9:AH9">IF($B9="","",IF(D$5:AH$5="","",IF(D$7:AH$7="休業","",IF(HLOOKUP(WEEKDAY(D$5:AH$5,2),STAFF_WD,MATCH($B9,STAFF_NAMES,0)+2,0)="×","－",IFERROR(VLOOKUP($B9&amp;"|"&amp;TEXT(D$5:AH$5,"yyyymmdd"),KEYTAB_A,3,0),IFERROR("("&amp;VLOOKUP($B9&amp;"|"&amp;TEXT(D$5:AH$5,"yyyymmdd"),KEYTAB_P,2,0)&amp;")",""))))))</f>
        <v/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J9" s="20">
        <f t="shared" si="2"/>
        <v/>
      </c>
      <c r="AK9" s="21">
        <f t="shared" si="3"/>
        <v/>
      </c>
      <c r="AL9" s="21">
        <f t="shared" si="4"/>
        <v/>
      </c>
      <c r="AM9" s="21">
        <f t="shared" si="5"/>
        <v/>
      </c>
    </row>
    <row r="10">
      <c r="B10" s="17">
        <f t="shared" si="0"/>
        <v/>
      </c>
      <c r="C10" s="18">
        <f t="shared" si="1"/>
        <v/>
      </c>
      <c r="D10" s="19">
        <f t="array" ref="D10:AH10">IF($B10="","",IF(D$5:AH$5="","",IF(D$7:AH$7="休業","",IF(HLOOKUP(WEEKDAY(D$5:AH$5,2),STAFF_WD,MATCH($B10,STAFF_NAMES,0)+2,0)="×","－",IFERROR(VLOOKUP($B10&amp;"|"&amp;TEXT(D$5:AH$5,"yyyymmdd"),KEYTAB_A,3,0),IFERROR("("&amp;VLOOKUP($B10&amp;"|"&amp;TEXT(D$5:AH$5,"yyyymmdd"),KEYTAB_P,2,0)&amp;")",""))))))</f>
        <v/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J10" s="20">
        <f t="shared" si="2"/>
        <v/>
      </c>
      <c r="AK10" s="21">
        <f t="shared" si="3"/>
        <v/>
      </c>
      <c r="AL10" s="21">
        <f t="shared" si="4"/>
        <v/>
      </c>
      <c r="AM10" s="21">
        <f t="shared" si="5"/>
        <v/>
      </c>
    </row>
    <row r="11">
      <c r="B11" s="17">
        <f t="shared" si="0"/>
        <v/>
      </c>
      <c r="C11" s="18">
        <f t="shared" si="1"/>
        <v/>
      </c>
      <c r="D11" s="19">
        <f t="array" ref="D11:AH11">IF($B11="","",IF(D$5:AH$5="","",IF(D$7:AH$7="休業","",IF(HLOOKUP(WEEKDAY(D$5:AH$5,2),STAFF_WD,MATCH($B11,STAFF_NAMES,0)+2,0)="×","－",IFERROR(VLOOKUP($B11&amp;"|"&amp;TEXT(D$5:AH$5,"yyyymmdd"),KEYTAB_A,3,0),IFERROR("("&amp;VLOOKUP($B11&amp;"|"&amp;TEXT(D$5:AH$5,"yyyymmdd"),KEYTAB_P,2,0)&amp;")",""))))))</f>
        <v/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J11" s="20">
        <f t="shared" si="2"/>
        <v/>
      </c>
      <c r="AK11" s="21">
        <f t="shared" si="3"/>
        <v/>
      </c>
      <c r="AL11" s="21">
        <f t="shared" si="4"/>
        <v/>
      </c>
      <c r="AM11" s="21">
        <f t="shared" si="5"/>
        <v/>
      </c>
    </row>
    <row r="12">
      <c r="B12" s="17">
        <f t="shared" si="0"/>
        <v/>
      </c>
      <c r="C12" s="18">
        <f t="shared" si="1"/>
        <v/>
      </c>
      <c r="D12" s="19">
        <f t="array" ref="D12:AH12">IF($B12="","",IF(D$5:AH$5="","",IF(D$7:AH$7="休業","",IF(HLOOKUP(WEEKDAY(D$5:AH$5,2),STAFF_WD,MATCH($B12,STAFF_NAMES,0)+2,0)="×","－",IFERROR(VLOOKUP($B12&amp;"|"&amp;TEXT(D$5:AH$5,"yyyymmdd"),KEYTAB_A,3,0),IFERROR("("&amp;VLOOKUP($B12&amp;"|"&amp;TEXT(D$5:AH$5,"yyyymmdd"),KEYTAB_P,2,0)&amp;")",""))))))</f>
        <v/>
      </c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J12" s="20">
        <f t="shared" si="2"/>
        <v/>
      </c>
      <c r="AK12" s="21">
        <f t="shared" si="3"/>
        <v/>
      </c>
      <c r="AL12" s="21">
        <f t="shared" si="4"/>
        <v/>
      </c>
      <c r="AM12" s="21">
        <f t="shared" si="5"/>
        <v/>
      </c>
    </row>
    <row r="13">
      <c r="B13" s="17">
        <f t="shared" si="0"/>
        <v/>
      </c>
      <c r="C13" s="18">
        <f t="shared" si="1"/>
        <v/>
      </c>
      <c r="D13" s="19">
        <f t="array" ref="D13:AH13">IF($B13="","",IF(D$5:AH$5="","",IF(D$7:AH$7="休業","",IF(HLOOKUP(WEEKDAY(D$5:AH$5,2),STAFF_WD,MATCH($B13,STAFF_NAMES,0)+2,0)="×","－",IFERROR(VLOOKUP($B13&amp;"|"&amp;TEXT(D$5:AH$5,"yyyymmdd"),KEYTAB_A,3,0),IFERROR("("&amp;VLOOKUP($B13&amp;"|"&amp;TEXT(D$5:AH$5,"yyyymmdd"),KEYTAB_P,2,0)&amp;")",""))))))</f>
        <v/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J13" s="20">
        <f t="shared" si="2"/>
        <v/>
      </c>
      <c r="AK13" s="21">
        <f t="shared" si="3"/>
        <v/>
      </c>
      <c r="AL13" s="21">
        <f t="shared" si="4"/>
        <v/>
      </c>
      <c r="AM13" s="21">
        <f t="shared" si="5"/>
        <v/>
      </c>
    </row>
    <row r="15">
      <c r="B15" s="22" t="inlineStr">
        <is>
          <t>出勤人数（承認済み反映）</t>
        </is>
      </c>
      <c r="C15" s="5" t="n"/>
      <c r="D15" s="23">
        <f t="shared" ref="D15:AH15" si="6">IF(D$5="","",IF(D$7="休業","－",SUM(D23:D28)))</f>
        <v/>
      </c>
      <c r="E15" s="23">
        <f t="shared" si="6"/>
        <v/>
      </c>
      <c r="F15" s="23">
        <f t="shared" si="6"/>
        <v/>
      </c>
      <c r="G15" s="23">
        <f t="shared" si="6"/>
        <v/>
      </c>
      <c r="H15" s="23">
        <f t="shared" si="6"/>
        <v/>
      </c>
      <c r="I15" s="23">
        <f t="shared" si="6"/>
        <v/>
      </c>
      <c r="J15" s="23">
        <f t="shared" si="6"/>
        <v/>
      </c>
      <c r="K15" s="23">
        <f t="shared" si="6"/>
        <v/>
      </c>
      <c r="L15" s="23">
        <f t="shared" si="6"/>
        <v/>
      </c>
      <c r="M15" s="23">
        <f t="shared" si="6"/>
        <v/>
      </c>
      <c r="N15" s="23">
        <f t="shared" si="6"/>
        <v/>
      </c>
      <c r="O15" s="23">
        <f t="shared" si="6"/>
        <v/>
      </c>
      <c r="P15" s="23">
        <f t="shared" si="6"/>
        <v/>
      </c>
      <c r="Q15" s="23">
        <f t="shared" si="6"/>
        <v/>
      </c>
      <c r="R15" s="23">
        <f t="shared" si="6"/>
        <v/>
      </c>
      <c r="S15" s="23">
        <f t="shared" si="6"/>
        <v/>
      </c>
      <c r="T15" s="23">
        <f t="shared" si="6"/>
        <v/>
      </c>
      <c r="U15" s="23">
        <f t="shared" si="6"/>
        <v/>
      </c>
      <c r="V15" s="23">
        <f t="shared" si="6"/>
        <v/>
      </c>
      <c r="W15" s="23">
        <f t="shared" si="6"/>
        <v/>
      </c>
      <c r="X15" s="23">
        <f t="shared" si="6"/>
        <v/>
      </c>
      <c r="Y15" s="23">
        <f t="shared" si="6"/>
        <v/>
      </c>
      <c r="Z15" s="23">
        <f t="shared" si="6"/>
        <v/>
      </c>
      <c r="AA15" s="23">
        <f t="shared" si="6"/>
        <v/>
      </c>
      <c r="AB15" s="23">
        <f t="shared" si="6"/>
        <v/>
      </c>
      <c r="AC15" s="23">
        <f t="shared" si="6"/>
        <v/>
      </c>
      <c r="AD15" s="23">
        <f t="shared" si="6"/>
        <v/>
      </c>
      <c r="AE15" s="23">
        <f t="shared" si="6"/>
        <v/>
      </c>
      <c r="AF15" s="23">
        <f t="shared" si="6"/>
        <v/>
      </c>
      <c r="AG15" s="23">
        <f t="shared" si="6"/>
        <v/>
      </c>
      <c r="AH15" s="23">
        <f t="shared" si="6"/>
        <v/>
      </c>
    </row>
    <row r="16">
      <c r="B16" s="24" t="inlineStr">
        <is>
          <t xml:space="preserve">　うち正社員</t>
        </is>
      </c>
      <c r="C16" s="5" t="n"/>
      <c r="D16" s="21">
        <f t="shared" ref="D16:AH16" si="7">IF(D$5="","",IF(D$7="休業","－",SUMIF($C$8:$C$13,"正社員",D23:D28)))</f>
        <v/>
      </c>
      <c r="E16" s="21">
        <f t="shared" si="7"/>
        <v/>
      </c>
      <c r="F16" s="21">
        <f t="shared" si="7"/>
        <v/>
      </c>
      <c r="G16" s="21">
        <f t="shared" si="7"/>
        <v/>
      </c>
      <c r="H16" s="21">
        <f t="shared" si="7"/>
        <v/>
      </c>
      <c r="I16" s="21">
        <f t="shared" si="7"/>
        <v/>
      </c>
      <c r="J16" s="21">
        <f t="shared" si="7"/>
        <v/>
      </c>
      <c r="K16" s="21">
        <f t="shared" si="7"/>
        <v/>
      </c>
      <c r="L16" s="21">
        <f t="shared" si="7"/>
        <v/>
      </c>
      <c r="M16" s="21">
        <f t="shared" si="7"/>
        <v/>
      </c>
      <c r="N16" s="21">
        <f t="shared" si="7"/>
        <v/>
      </c>
      <c r="O16" s="21">
        <f t="shared" si="7"/>
        <v/>
      </c>
      <c r="P16" s="21">
        <f t="shared" si="7"/>
        <v/>
      </c>
      <c r="Q16" s="21">
        <f t="shared" si="7"/>
        <v/>
      </c>
      <c r="R16" s="21">
        <f t="shared" si="7"/>
        <v/>
      </c>
      <c r="S16" s="21">
        <f t="shared" si="7"/>
        <v/>
      </c>
      <c r="T16" s="21">
        <f t="shared" si="7"/>
        <v/>
      </c>
      <c r="U16" s="21">
        <f t="shared" si="7"/>
        <v/>
      </c>
      <c r="V16" s="21">
        <f t="shared" si="7"/>
        <v/>
      </c>
      <c r="W16" s="21">
        <f t="shared" si="7"/>
        <v/>
      </c>
      <c r="X16" s="21">
        <f t="shared" si="7"/>
        <v/>
      </c>
      <c r="Y16" s="21">
        <f t="shared" si="7"/>
        <v/>
      </c>
      <c r="Z16" s="21">
        <f t="shared" si="7"/>
        <v/>
      </c>
      <c r="AA16" s="21">
        <f t="shared" si="7"/>
        <v/>
      </c>
      <c r="AB16" s="21">
        <f t="shared" si="7"/>
        <v/>
      </c>
      <c r="AC16" s="21">
        <f t="shared" si="7"/>
        <v/>
      </c>
      <c r="AD16" s="21">
        <f t="shared" si="7"/>
        <v/>
      </c>
      <c r="AE16" s="21">
        <f t="shared" si="7"/>
        <v/>
      </c>
      <c r="AF16" s="21">
        <f t="shared" si="7"/>
        <v/>
      </c>
      <c r="AG16" s="21">
        <f t="shared" si="7"/>
        <v/>
      </c>
      <c r="AH16" s="21">
        <f t="shared" si="7"/>
        <v/>
      </c>
    </row>
    <row r="17">
      <c r="B17" s="24" t="inlineStr">
        <is>
          <t xml:space="preserve">　うち派遣</t>
        </is>
      </c>
      <c r="C17" s="5" t="n"/>
      <c r="D17" s="21">
        <f t="shared" ref="D17:AH17" si="8">IF(D$5="","",IF(D$7="休業","－",SUMIF($C$8:$C$13,"派遣",D23:D28)))</f>
        <v/>
      </c>
      <c r="E17" s="21">
        <f t="shared" si="8"/>
        <v/>
      </c>
      <c r="F17" s="21">
        <f t="shared" si="8"/>
        <v/>
      </c>
      <c r="G17" s="21">
        <f t="shared" si="8"/>
        <v/>
      </c>
      <c r="H17" s="21">
        <f t="shared" si="8"/>
        <v/>
      </c>
      <c r="I17" s="21">
        <f t="shared" si="8"/>
        <v/>
      </c>
      <c r="J17" s="21">
        <f t="shared" si="8"/>
        <v/>
      </c>
      <c r="K17" s="21">
        <f t="shared" si="8"/>
        <v/>
      </c>
      <c r="L17" s="21">
        <f t="shared" si="8"/>
        <v/>
      </c>
      <c r="M17" s="21">
        <f t="shared" si="8"/>
        <v/>
      </c>
      <c r="N17" s="21">
        <f t="shared" si="8"/>
        <v/>
      </c>
      <c r="O17" s="21">
        <f t="shared" si="8"/>
        <v/>
      </c>
      <c r="P17" s="21">
        <f t="shared" si="8"/>
        <v/>
      </c>
      <c r="Q17" s="21">
        <f t="shared" si="8"/>
        <v/>
      </c>
      <c r="R17" s="21">
        <f t="shared" si="8"/>
        <v/>
      </c>
      <c r="S17" s="21">
        <f t="shared" si="8"/>
        <v/>
      </c>
      <c r="T17" s="21">
        <f t="shared" si="8"/>
        <v/>
      </c>
      <c r="U17" s="21">
        <f t="shared" si="8"/>
        <v/>
      </c>
      <c r="V17" s="21">
        <f t="shared" si="8"/>
        <v/>
      </c>
      <c r="W17" s="21">
        <f t="shared" si="8"/>
        <v/>
      </c>
      <c r="X17" s="21">
        <f t="shared" si="8"/>
        <v/>
      </c>
      <c r="Y17" s="21">
        <f t="shared" si="8"/>
        <v/>
      </c>
      <c r="Z17" s="21">
        <f t="shared" si="8"/>
        <v/>
      </c>
      <c r="AA17" s="21">
        <f t="shared" si="8"/>
        <v/>
      </c>
      <c r="AB17" s="21">
        <f t="shared" si="8"/>
        <v/>
      </c>
      <c r="AC17" s="21">
        <f t="shared" si="8"/>
        <v/>
      </c>
      <c r="AD17" s="21">
        <f t="shared" si="8"/>
        <v/>
      </c>
      <c r="AE17" s="21">
        <f t="shared" si="8"/>
        <v/>
      </c>
      <c r="AF17" s="21">
        <f t="shared" si="8"/>
        <v/>
      </c>
      <c r="AG17" s="21">
        <f t="shared" si="8"/>
        <v/>
      </c>
      <c r="AH17" s="21">
        <f t="shared" si="8"/>
        <v/>
      </c>
    </row>
    <row r="18">
      <c r="B18" s="22" t="inlineStr">
        <is>
          <t>判定（NG = 下限割れ）</t>
        </is>
      </c>
      <c r="C18" s="5" t="n"/>
      <c r="D18" s="25">
        <f t="shared" ref="D18:AH18" si="9">IF(D$5="","",IF(D$7="休業","－",IF(OR(D15&lt;MIN_ALL,D16&lt;MIN_FT),"NG","OK")))</f>
        <v/>
      </c>
      <c r="E18" s="25">
        <f t="shared" si="9"/>
        <v/>
      </c>
      <c r="F18" s="25">
        <f t="shared" si="9"/>
        <v/>
      </c>
      <c r="G18" s="25">
        <f t="shared" si="9"/>
        <v/>
      </c>
      <c r="H18" s="25">
        <f t="shared" si="9"/>
        <v/>
      </c>
      <c r="I18" s="25">
        <f t="shared" si="9"/>
        <v/>
      </c>
      <c r="J18" s="25">
        <f t="shared" si="9"/>
        <v/>
      </c>
      <c r="K18" s="25">
        <f t="shared" si="9"/>
        <v/>
      </c>
      <c r="L18" s="25">
        <f t="shared" si="9"/>
        <v/>
      </c>
      <c r="M18" s="25">
        <f t="shared" si="9"/>
        <v/>
      </c>
      <c r="N18" s="25">
        <f t="shared" si="9"/>
        <v/>
      </c>
      <c r="O18" s="25">
        <f t="shared" si="9"/>
        <v/>
      </c>
      <c r="P18" s="25">
        <f t="shared" si="9"/>
        <v/>
      </c>
      <c r="Q18" s="25">
        <f t="shared" si="9"/>
        <v/>
      </c>
      <c r="R18" s="25">
        <f t="shared" si="9"/>
        <v/>
      </c>
      <c r="S18" s="25">
        <f t="shared" si="9"/>
        <v/>
      </c>
      <c r="T18" s="25">
        <f t="shared" si="9"/>
        <v/>
      </c>
      <c r="U18" s="25">
        <f t="shared" si="9"/>
        <v/>
      </c>
      <c r="V18" s="25">
        <f t="shared" si="9"/>
        <v/>
      </c>
      <c r="W18" s="25">
        <f t="shared" si="9"/>
        <v/>
      </c>
      <c r="X18" s="25">
        <f t="shared" si="9"/>
        <v/>
      </c>
      <c r="Y18" s="25">
        <f t="shared" si="9"/>
        <v/>
      </c>
      <c r="Z18" s="25">
        <f t="shared" si="9"/>
        <v/>
      </c>
      <c r="AA18" s="25">
        <f t="shared" si="9"/>
        <v/>
      </c>
      <c r="AB18" s="25">
        <f t="shared" si="9"/>
        <v/>
      </c>
      <c r="AC18" s="25">
        <f t="shared" si="9"/>
        <v/>
      </c>
      <c r="AD18" s="25">
        <f t="shared" si="9"/>
        <v/>
      </c>
      <c r="AE18" s="25">
        <f t="shared" si="9"/>
        <v/>
      </c>
      <c r="AF18" s="25">
        <f t="shared" si="9"/>
        <v/>
      </c>
      <c r="AG18" s="25">
        <f t="shared" si="9"/>
        <v/>
      </c>
      <c r="AH18" s="25">
        <f t="shared" si="9"/>
        <v/>
      </c>
    </row>
    <row r="19">
      <c r="B19" s="24" t="inlineStr">
        <is>
          <t>申請中も休みにした場合の出勤人数</t>
        </is>
      </c>
      <c r="C19" s="5" t="n"/>
      <c r="D19" s="21">
        <f t="shared" ref="D19:AH19" si="10">IF(D$5="","",IF(D$7="休業","－",D15-SUMPRODUCT((LEFT(D8:D13,1)="(")*1)))</f>
        <v/>
      </c>
      <c r="E19" s="21">
        <f t="shared" si="10"/>
        <v/>
      </c>
      <c r="F19" s="21">
        <f t="shared" si="10"/>
        <v/>
      </c>
      <c r="G19" s="21">
        <f t="shared" si="10"/>
        <v/>
      </c>
      <c r="H19" s="21">
        <f t="shared" si="10"/>
        <v/>
      </c>
      <c r="I19" s="21">
        <f t="shared" si="10"/>
        <v/>
      </c>
      <c r="J19" s="21">
        <f t="shared" si="10"/>
        <v/>
      </c>
      <c r="K19" s="21">
        <f t="shared" si="10"/>
        <v/>
      </c>
      <c r="L19" s="21">
        <f t="shared" si="10"/>
        <v/>
      </c>
      <c r="M19" s="21">
        <f t="shared" si="10"/>
        <v/>
      </c>
      <c r="N19" s="21">
        <f t="shared" si="10"/>
        <v/>
      </c>
      <c r="O19" s="21">
        <f t="shared" si="10"/>
        <v/>
      </c>
      <c r="P19" s="21">
        <f t="shared" si="10"/>
        <v/>
      </c>
      <c r="Q19" s="21">
        <f t="shared" si="10"/>
        <v/>
      </c>
      <c r="R19" s="21">
        <f t="shared" si="10"/>
        <v/>
      </c>
      <c r="S19" s="21">
        <f t="shared" si="10"/>
        <v/>
      </c>
      <c r="T19" s="21">
        <f t="shared" si="10"/>
        <v/>
      </c>
      <c r="U19" s="21">
        <f t="shared" si="10"/>
        <v/>
      </c>
      <c r="V19" s="21">
        <f t="shared" si="10"/>
        <v/>
      </c>
      <c r="W19" s="21">
        <f t="shared" si="10"/>
        <v/>
      </c>
      <c r="X19" s="21">
        <f t="shared" si="10"/>
        <v/>
      </c>
      <c r="Y19" s="21">
        <f t="shared" si="10"/>
        <v/>
      </c>
      <c r="Z19" s="21">
        <f t="shared" si="10"/>
        <v/>
      </c>
      <c r="AA19" s="21">
        <f t="shared" si="10"/>
        <v/>
      </c>
      <c r="AB19" s="21">
        <f t="shared" si="10"/>
        <v/>
      </c>
      <c r="AC19" s="21">
        <f t="shared" si="10"/>
        <v/>
      </c>
      <c r="AD19" s="21">
        <f t="shared" si="10"/>
        <v/>
      </c>
      <c r="AE19" s="21">
        <f t="shared" si="10"/>
        <v/>
      </c>
      <c r="AF19" s="21">
        <f t="shared" si="10"/>
        <v/>
      </c>
      <c r="AG19" s="21">
        <f t="shared" si="10"/>
        <v/>
      </c>
      <c r="AH19" s="21">
        <f t="shared" si="10"/>
        <v/>
      </c>
    </row>
    <row r="20">
      <c r="B20" s="22" t="inlineStr">
        <is>
          <t>申請中を承認した場合の判定</t>
        </is>
      </c>
      <c r="C20" s="5" t="n"/>
      <c r="D20" s="25">
        <f t="shared" ref="D20:AH20" si="11">IF(D$5="","",IF(D$7="休業","－",IF(OR(D19&lt;MIN_ALL,D16-SUMPRODUCT(($C$8:$C$13="正社員")*(LEFT(D8:D13,1)="("))&lt;MIN_FT),"要注意","OK")))</f>
        <v/>
      </c>
      <c r="E20" s="25">
        <f t="shared" si="11"/>
        <v/>
      </c>
      <c r="F20" s="25">
        <f t="shared" si="11"/>
        <v/>
      </c>
      <c r="G20" s="25">
        <f t="shared" si="11"/>
        <v/>
      </c>
      <c r="H20" s="25">
        <f t="shared" si="11"/>
        <v/>
      </c>
      <c r="I20" s="25">
        <f t="shared" si="11"/>
        <v/>
      </c>
      <c r="J20" s="25">
        <f t="shared" si="11"/>
        <v/>
      </c>
      <c r="K20" s="25">
        <f t="shared" si="11"/>
        <v/>
      </c>
      <c r="L20" s="25">
        <f t="shared" si="11"/>
        <v/>
      </c>
      <c r="M20" s="25">
        <f t="shared" si="11"/>
        <v/>
      </c>
      <c r="N20" s="25">
        <f t="shared" si="11"/>
        <v/>
      </c>
      <c r="O20" s="25">
        <f t="shared" si="11"/>
        <v/>
      </c>
      <c r="P20" s="25">
        <f t="shared" si="11"/>
        <v/>
      </c>
      <c r="Q20" s="25">
        <f t="shared" si="11"/>
        <v/>
      </c>
      <c r="R20" s="25">
        <f t="shared" si="11"/>
        <v/>
      </c>
      <c r="S20" s="25">
        <f t="shared" si="11"/>
        <v/>
      </c>
      <c r="T20" s="25">
        <f t="shared" si="11"/>
        <v/>
      </c>
      <c r="U20" s="25">
        <f t="shared" si="11"/>
        <v/>
      </c>
      <c r="V20" s="25">
        <f t="shared" si="11"/>
        <v/>
      </c>
      <c r="W20" s="25">
        <f t="shared" si="11"/>
        <v/>
      </c>
      <c r="X20" s="25">
        <f t="shared" si="11"/>
        <v/>
      </c>
      <c r="Y20" s="25">
        <f t="shared" si="11"/>
        <v/>
      </c>
      <c r="Z20" s="25">
        <f t="shared" si="11"/>
        <v/>
      </c>
      <c r="AA20" s="25">
        <f t="shared" si="11"/>
        <v/>
      </c>
      <c r="AB20" s="25">
        <f t="shared" si="11"/>
        <v/>
      </c>
      <c r="AC20" s="25">
        <f t="shared" si="11"/>
        <v/>
      </c>
      <c r="AD20" s="25">
        <f t="shared" si="11"/>
        <v/>
      </c>
      <c r="AE20" s="25">
        <f t="shared" si="11"/>
        <v/>
      </c>
      <c r="AF20" s="25">
        <f t="shared" si="11"/>
        <v/>
      </c>
      <c r="AG20" s="25">
        <f t="shared" si="11"/>
        <v/>
      </c>
      <c r="AH20" s="25">
        <f t="shared" si="11"/>
        <v/>
      </c>
    </row>
    <row r="22">
      <c r="B22" s="26" t="inlineStr">
        <is>
          <t>自動計算エリア（出勤係数。編集不要。申請中は1日休み扱いで安全側に計算）</t>
        </is>
      </c>
    </row>
    <row r="23">
      <c r="B23" s="27">
        <f t="shared" ref="B23:B28" si="12">B8</f>
        <v/>
      </c>
      <c r="C23" s="28" t="inlineStr">
        <is>
          <t>係数</t>
        </is>
      </c>
      <c r="D23" s="29">
        <f t="array" ref="D23:AH23">IF($B8="","",IF(D$5:AH$5="","",IF(D$7:AH$7="休業","",IF(D8:AH8="－","",IF(D8:AH8="",1,IFERROR(VLOOKUP(D8:AH8,SYM_TBL,3,0),1))))))</f>
        <v/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</row>
    <row r="24">
      <c r="B24" s="27">
        <f t="shared" si="12"/>
        <v/>
      </c>
      <c r="C24" s="28" t="inlineStr">
        <is>
          <t>係数</t>
        </is>
      </c>
      <c r="D24" s="29">
        <f t="array" ref="D24:AH24">IF($B9="","",IF(D$5:AH$5="","",IF(D$7:AH$7="休業","",IF(D9:AH9="－","",IF(D9:AH9="",1,IFERROR(VLOOKUP(D9:AH9,SYM_TBL,3,0),1))))))</f>
        <v/>
      </c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</row>
    <row r="25">
      <c r="B25" s="27">
        <f t="shared" si="12"/>
        <v/>
      </c>
      <c r="C25" s="28" t="inlineStr">
        <is>
          <t>係数</t>
        </is>
      </c>
      <c r="D25" s="29">
        <f t="array" ref="D25:AH25">IF($B10="","",IF(D$5:AH$5="","",IF(D$7:AH$7="休業","",IF(D10:AH10="－","",IF(D10:AH10="",1,IFERROR(VLOOKUP(D10:AH10,SYM_TBL,3,0),1))))))</f>
        <v/>
      </c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  <c r="AH25" s="29" t="n"/>
    </row>
    <row r="26">
      <c r="B26" s="27">
        <f t="shared" si="12"/>
        <v/>
      </c>
      <c r="C26" s="28" t="inlineStr">
        <is>
          <t>係数</t>
        </is>
      </c>
      <c r="D26" s="29">
        <f t="array" ref="D26:AH26">IF($B11="","",IF(D$5:AH$5="","",IF(D$7:AH$7="休業","",IF(D11:AH11="－","",IF(D11:AH11="",1,IFERROR(VLOOKUP(D11:AH11,SYM_TBL,3,0),1))))))</f>
        <v/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</row>
    <row r="27">
      <c r="B27" s="27">
        <f t="shared" si="12"/>
        <v/>
      </c>
      <c r="C27" s="28" t="inlineStr">
        <is>
          <t>係数</t>
        </is>
      </c>
      <c r="D27" s="29">
        <f t="array" ref="D27:AH27">IF($B12="","",IF(D$5:AH$5="","",IF(D$7:AH$7="休業","",IF(D12:AH12="－","",IF(D12:AH12="",1,IFERROR(VLOOKUP(D12:AH12,SYM_TBL,3,0),1))))))</f>
        <v/>
      </c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</row>
    <row r="28">
      <c r="B28" s="27">
        <f t="shared" si="12"/>
        <v/>
      </c>
      <c r="C28" s="28" t="inlineStr">
        <is>
          <t>係数</t>
        </is>
      </c>
      <c r="D28" s="29">
        <f t="array" ref="D28:AH28">IF($B13="","",IF(D$5:AH$5="","",IF(D$7:AH$7="休業","",IF(D13:AH13="－","",IF(D13:AH13="",1,IFERROR(VLOOKUP(D13:AH13,SYM_TBL,3,0),1))))))</f>
        <v/>
      </c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29" t="n"/>
    </row>
  </sheetData>
  <mergeCells count="15">
    <mergeCell ref="B16:C16"/>
    <mergeCell ref="B15:C15"/>
    <mergeCell ref="AK5:AK7"/>
    <mergeCell ref="AM5:AM7"/>
    <mergeCell ref="B19:C19"/>
    <mergeCell ref="L3:O3"/>
    <mergeCell ref="B20:C20"/>
    <mergeCell ref="B17:C17"/>
    <mergeCell ref="C5:C7"/>
    <mergeCell ref="AJ5:AJ7"/>
    <mergeCell ref="H3:J3"/>
    <mergeCell ref="B18:C18"/>
    <mergeCell ref="AL5:AL7"/>
    <mergeCell ref="E3:F3"/>
    <mergeCell ref="B5:B7"/>
  </mergeCells>
  <conditionalFormatting sqref="D5:AH20">
    <cfRule type="expression" priority="1" dxfId="0" stopIfTrue="1">
      <formula>D$7="休業"</formula>
    </cfRule>
  </conditionalFormatting>
  <conditionalFormatting sqref="D6:AH6">
    <cfRule type="expression" priority="2" dxfId="1">
      <formula>D6="日"</formula>
    </cfRule>
    <cfRule type="expression" priority="3" dxfId="2">
      <formula>D6="土"</formula>
    </cfRule>
  </conditionalFormatting>
  <conditionalFormatting sqref="D8:AH13">
    <cfRule type="expression" priority="4" dxfId="3" stopIfTrue="1">
      <formula>LEFT(D8,1)="("</formula>
    </cfRule>
    <cfRule type="expression" priority="5" dxfId="4">
      <formula>OR(D8="有",D8="休",D8="特",D8="代",D8="欠")</formula>
    </cfRule>
    <cfRule type="expression" priority="6" dxfId="5">
      <formula>OR(D8="午前",D8="午後")</formula>
    </cfRule>
    <cfRule type="expression" priority="7" dxfId="6">
      <formula>OR(D8="在",D8="外")</formula>
    </cfRule>
    <cfRule type="expression" priority="8" dxfId="7">
      <formula>D8="－"</formula>
    </cfRule>
  </conditionalFormatting>
  <conditionalFormatting sqref="D23:AH28">
    <cfRule type="expression" priority="9" dxfId="8">
      <formula>TRUE</formula>
    </cfRule>
  </conditionalFormatting>
  <conditionalFormatting sqref="D18:AH18">
    <cfRule type="cellIs" priority="10" operator="equal" dxfId="9">
      <formula>"NG"</formula>
    </cfRule>
    <cfRule type="cellIs" priority="11" operator="equal" dxfId="10">
      <formula>"OK"</formula>
    </cfRule>
  </conditionalFormatting>
  <conditionalFormatting sqref="D20:AH20">
    <cfRule type="cellIs" priority="12" operator="equal" dxfId="11">
      <formula>"要注意"</formula>
    </cfRule>
    <cfRule type="cellIs" priority="13" operator="equal" dxfId="10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2" customWidth="1" min="3" max="3"/>
    <col width="11" customWidth="1" min="4" max="4"/>
    <col width="8" customWidth="1" min="5" max="5"/>
    <col width="28" customWidth="1" min="6" max="6"/>
    <col width="9" customWidth="1" min="7" max="7"/>
    <col width="10" customWidth="1" min="8" max="8"/>
    <col width="10" customWidth="1" min="9" max="9"/>
    <col width="9" customWidth="1" min="10" max="10"/>
    <col width="12" customWidth="1" min="11" max="11"/>
    <col width="16" customWidth="1" min="12" max="12"/>
    <col width="16" customWidth="1" min="13" max="13"/>
    <col width="6" customWidth="1" min="14" max="14"/>
  </cols>
  <sheetData>
    <row r="1">
      <c r="B1" s="1" t="inlineStr">
        <is>
          <t>休暇申請（ここだけ入力する）</t>
        </is>
      </c>
    </row>
    <row r="2">
      <c r="B2" s="2" t="inlineStr">
        <is>
          <t>1休暇につき1行。連休は日ごとに1行。状態を「承認」にするとシフト表・有給管理に反映される。行の挿入はせず、下に追記する。</t>
        </is>
      </c>
    </row>
    <row r="3">
      <c r="B3" s="2" t="inlineStr">
        <is>
          <t>黄色 = 入力     灰色 = 自動（触らない）     同日の他の休み = 承認＋申請中の人数（半休も1人と数える）     出勤見込み = 勤務予定人数 − 休む人数</t>
        </is>
      </c>
    </row>
    <row r="4" ht="30" customHeight="1">
      <c r="B4" s="13" t="inlineStr">
        <is>
          <t>申請日</t>
        </is>
      </c>
      <c r="C4" s="13" t="inlineStr">
        <is>
          <t>氏名</t>
        </is>
      </c>
      <c r="D4" s="13" t="inlineStr">
        <is>
          <t>休暇日</t>
        </is>
      </c>
      <c r="E4" s="13" t="inlineStr">
        <is>
          <t>種別</t>
        </is>
      </c>
      <c r="F4" s="13" t="inlineStr">
        <is>
          <t>理由・備考</t>
        </is>
      </c>
      <c r="G4" s="13" t="inlineStr">
        <is>
          <t>状態</t>
        </is>
      </c>
      <c r="H4" s="13" t="inlineStr">
        <is>
          <t>承認者</t>
        </is>
      </c>
      <c r="I4" s="13" t="inlineStr">
        <is>
          <t>同日の他の休み</t>
        </is>
      </c>
      <c r="J4" s="13" t="inlineStr">
        <is>
          <t>出勤見込み</t>
        </is>
      </c>
      <c r="K4" s="13" t="inlineStr">
        <is>
          <t>判定</t>
        </is>
      </c>
      <c r="L4" s="13" t="inlineStr">
        <is>
          <t>キー承認</t>
        </is>
      </c>
      <c r="M4" s="13" t="inlineStr">
        <is>
          <t>キー申請中</t>
        </is>
      </c>
      <c r="N4" s="13" t="inlineStr">
        <is>
          <t>種別</t>
        </is>
      </c>
    </row>
    <row r="5">
      <c r="B5" s="30" t="n">
        <v>46266</v>
      </c>
      <c r="C5" s="31" t="inlineStr">
        <is>
          <t>正社員A</t>
        </is>
      </c>
      <c r="D5" s="30" t="n">
        <v>46275</v>
      </c>
      <c r="E5" s="32" t="inlineStr">
        <is>
          <t>有</t>
        </is>
      </c>
      <c r="F5" s="31" t="inlineStr">
        <is>
          <t>私用</t>
        </is>
      </c>
      <c r="G5" s="32" t="inlineStr">
        <is>
          <t>承認</t>
        </is>
      </c>
      <c r="H5" s="31" t="inlineStr">
        <is>
          <t>正社員B</t>
        </is>
      </c>
      <c r="I5" s="19">
        <f t="array" ref="I5:I124">IF(D5:D124="","",COUNTIFS(LOG_DATE,D5:D124,LOG_STATE,"承認")+COUNTIFS(LOG_DATE,D5:D124,LOG_STATE,"申請中")-IF(G5:G124="却下",0,1))</f>
        <v/>
      </c>
      <c r="J5" s="19">
        <f t="array" ref="J5:J124">IF(D5:D124="","",IFERROR(HLOOKUP(WEEKDAY(D5:D124,2),BIZ_TABLE,3,0)-I5:I124-IF(G5:G124="却下",0,1),"日付を確認"))</f>
        <v/>
      </c>
      <c r="K5" s="33">
        <f t="array" ref="K5:K124">IF(D5:D124="","",IFERROR(IF((HLOOKUP(WEEKDAY(D5:D124,2),BIZ_TABLE,2,0)="×")+(COUNTIF(HOLIDAYS,D5:D124)&gt;0)&gt;0,"休業日",IF(J5:J124&lt;MIN_ALL,"要確認","OK")),"日付を確認"))</f>
        <v/>
      </c>
      <c r="L5" s="34">
        <f t="array" ref="L5:L124">IF((G5:G124="承認")*(C5:C124&lt;&gt;"")*(D5:D124&lt;&gt;""),C5:C124&amp;"|"&amp;TEXT(D5:D124,"yyyymmdd"),"")</f>
        <v/>
      </c>
      <c r="M5" s="34">
        <f t="array" ref="M5:M124">IF((G5:G124="申請中")*(C5:C124&lt;&gt;"")*(D5:D124&lt;&gt;""),C5:C124&amp;"|"&amp;TEXT(D5:D124,"yyyymmdd"),"")</f>
        <v/>
      </c>
      <c r="N5" s="34">
        <f t="array" ref="N5:N124">IF(E5:E124="","",E5:E124)</f>
        <v/>
      </c>
    </row>
    <row r="6">
      <c r="B6" s="30" t="n">
        <v>46267</v>
      </c>
      <c r="C6" s="31" t="inlineStr">
        <is>
          <t>派遣A</t>
        </is>
      </c>
      <c r="D6" s="30" t="n">
        <v>46275</v>
      </c>
      <c r="E6" s="32" t="inlineStr">
        <is>
          <t>有</t>
        </is>
      </c>
      <c r="F6" s="31" t="inlineStr">
        <is>
          <t>通院</t>
        </is>
      </c>
      <c r="G6" s="32" t="inlineStr">
        <is>
          <t>申請中</t>
        </is>
      </c>
      <c r="H6" s="31" t="n"/>
    </row>
    <row r="7">
      <c r="B7" s="30" t="n">
        <v>46267</v>
      </c>
      <c r="C7" s="31" t="inlineStr">
        <is>
          <t>正社員B</t>
        </is>
      </c>
      <c r="D7" s="30" t="n">
        <v>46280</v>
      </c>
      <c r="E7" s="32" t="inlineStr">
        <is>
          <t>午前</t>
        </is>
      </c>
      <c r="F7" s="31" t="inlineStr">
        <is>
          <t>役所手続き</t>
        </is>
      </c>
      <c r="G7" s="32" t="inlineStr">
        <is>
          <t>承認</t>
        </is>
      </c>
      <c r="H7" s="31" t="inlineStr">
        <is>
          <t>正社員A</t>
        </is>
      </c>
    </row>
    <row r="8">
      <c r="B8" s="30" t="n">
        <v>46267</v>
      </c>
      <c r="C8" s="31" t="inlineStr">
        <is>
          <t>派遣B</t>
        </is>
      </c>
      <c r="D8" s="30" t="n">
        <v>46275</v>
      </c>
      <c r="E8" s="32" t="inlineStr">
        <is>
          <t>休</t>
        </is>
      </c>
      <c r="F8" s="31" t="inlineStr">
        <is>
          <t>私用（希望休）</t>
        </is>
      </c>
      <c r="G8" s="32" t="inlineStr">
        <is>
          <t>申請中</t>
        </is>
      </c>
      <c r="H8" s="31" t="n"/>
    </row>
  </sheetData>
  <conditionalFormatting sqref="B5:H124">
    <cfRule type="expression" priority="1" dxfId="12">
      <formula>TRUE</formula>
    </cfRule>
  </conditionalFormatting>
  <conditionalFormatting sqref="I5:N124">
    <cfRule type="expression" priority="2" dxfId="8">
      <formula>TRUE</formula>
    </cfRule>
  </conditionalFormatting>
  <conditionalFormatting sqref="K5:K124">
    <cfRule type="cellIs" priority="3" operator="equal" dxfId="11">
      <formula>"要確認"</formula>
    </cfRule>
    <cfRule type="cellIs" priority="4" operator="equal" dxfId="10">
      <formula>"OK"</formula>
    </cfRule>
  </conditionalFormatting>
  <conditionalFormatting sqref="G5:G124">
    <cfRule type="cellIs" priority="5" operator="equal" dxfId="3">
      <formula>"申請中"</formula>
    </cfRule>
    <cfRule type="cellIs" priority="6" operator="equal" dxfId="10">
      <formula>"承認"</formula>
    </cfRule>
    <cfRule type="cellIs" priority="7" operator="equal" dxfId="0">
      <formula>"却下"</formula>
    </cfRule>
  </conditionalFormatting>
  <dataValidations count="4">
    <dataValidation sqref="C5:C124" showDropDown="0" showInputMessage="0" showErrorMessage="0" allowBlank="1" type="list">
      <formula1>=設定!$B$5:$B$10</formula1>
    </dataValidation>
    <dataValidation sqref="E5:E124" showDropDown="0" showInputMessage="0" showErrorMessage="0" allowBlank="1" type="list">
      <formula1>=設定!$B$25:$B$33</formula1>
    </dataValidation>
    <dataValidation sqref="G5:G124" showDropDown="0" showInputMessage="0" showErrorMessage="0" allowBlank="1" type="list">
      <formula1>"申請中,承認,却下"</formula1>
    </dataValidation>
    <dataValidation sqref="B5:B124 D5:D124" showDropDown="0" showInputMessage="0" showErrorMessage="1" allowBlank="1" error="日付を 2026/9/10 の形式で入力してください" type="date" operator="greaterThan">
      <formula1>40000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12" customWidth="1" min="7" max="7"/>
    <col width="12" customWidth="1" min="8" max="8"/>
    <col width="14" customWidth="1" min="9" max="9"/>
    <col width="34" customWidth="1" min="10" max="10"/>
  </cols>
  <sheetData>
    <row r="1">
      <c r="B1" s="1" t="inlineStr">
        <is>
          <t>有給管理（自動集計）</t>
        </is>
      </c>
    </row>
    <row r="2">
      <c r="B2" s="2" t="inlineStr">
        <is>
          <t>承認済みの「有」「午前」「午後」を基準日以降で数える。派遣の残数は派遣元が管理するため、ここでは取得日数の把握のみ。</t>
        </is>
      </c>
    </row>
    <row r="3">
      <c r="B3" s="2" t="inlineStr">
        <is>
          <t>黄色 = 入力（付与日・付与日数・繰越）　年10日以上付与される人は付与日から1年以内に5日取得させる義務あり（労基法39条7項）</t>
        </is>
      </c>
    </row>
    <row r="4" ht="30" customHeight="1">
      <c r="B4" s="13" t="inlineStr">
        <is>
          <t>氏名</t>
        </is>
      </c>
      <c r="C4" s="13" t="inlineStr">
        <is>
          <t>区分</t>
        </is>
      </c>
      <c r="D4" s="13" t="inlineStr">
        <is>
          <t>基準日（付与日）</t>
        </is>
      </c>
      <c r="E4" s="13" t="inlineStr">
        <is>
          <t>付与日数</t>
        </is>
      </c>
      <c r="F4" s="13" t="inlineStr">
        <is>
          <t>繰越日数</t>
        </is>
      </c>
      <c r="G4" s="13" t="inlineStr">
        <is>
          <t>取得日数（承認済）</t>
        </is>
      </c>
      <c r="H4" s="13" t="inlineStr">
        <is>
          <t>残日数</t>
        </is>
      </c>
      <c r="I4" s="13" t="inlineStr">
        <is>
          <t>年5日取得義務</t>
        </is>
      </c>
      <c r="J4" s="13" t="inlineStr">
        <is>
          <t>備考</t>
        </is>
      </c>
    </row>
    <row r="5">
      <c r="B5" s="17">
        <f t="shared" ref="B5:B10" si="0">IF(設定!B5="","",設定!B5)</f>
        <v/>
      </c>
      <c r="C5" s="18">
        <f t="shared" ref="C5:C10" si="1">IF(設定!C5="","",設定!C5)</f>
        <v/>
      </c>
      <c r="D5" s="35" t="n">
        <v>46113</v>
      </c>
      <c r="E5" s="36" t="n">
        <v>10</v>
      </c>
      <c r="F5" s="36" t="n">
        <v>0</v>
      </c>
      <c r="G5" s="21">
        <f t="shared" ref="G5:G10" si="2">IF(B5="","",COUNTIFS(LOG_NAME,B5,LOG_DATE,"&gt;="&amp;IF(D5="",0,D5),LOG_SYM,"有",LOG_STATE,"承認")+0.5*(COUNTIFS(LOG_NAME,B5,LOG_DATE,"&gt;="&amp;IF(D5="",0,D5),LOG_SYM,"午前",LOG_STATE,"承認")+COUNTIFS(LOG_NAME,B5,LOG_DATE,"&gt;="&amp;IF(D5="",0,D5),LOG_SYM,"午後",LOG_STATE,"承認")))</f>
        <v/>
      </c>
      <c r="H5" s="21">
        <f t="shared" ref="H5:H10" si="3">IF(B5="","",IF(C5="派遣","派遣元で管理",E5+F5-G5))</f>
        <v/>
      </c>
      <c r="I5" s="20">
        <f t="shared" ref="I5:I10" si="4">IF(B5="","",IF(C5="派遣","対象外（派遣元）",IF(E5&gt;=10,IF(G5&gt;=5,"達成","あと"&amp;(5-G5)&amp;"日"),"対象外")))</f>
        <v/>
      </c>
      <c r="J5" s="37" t="inlineStr">
        <is>
          <t>付与日数・繰越は例。実際の値に直す</t>
        </is>
      </c>
    </row>
    <row r="6">
      <c r="B6" s="17">
        <f t="shared" si="0"/>
        <v/>
      </c>
      <c r="C6" s="18">
        <f t="shared" si="1"/>
        <v/>
      </c>
      <c r="D6" s="35" t="n">
        <v>46113</v>
      </c>
      <c r="E6" s="36" t="n">
        <v>11</v>
      </c>
      <c r="F6" s="36" t="n">
        <v>3</v>
      </c>
      <c r="G6" s="21">
        <f t="shared" si="2"/>
        <v/>
      </c>
      <c r="H6" s="21">
        <f t="shared" si="3"/>
        <v/>
      </c>
      <c r="I6" s="20">
        <f t="shared" si="4"/>
        <v/>
      </c>
      <c r="J6" s="37" t="n"/>
    </row>
    <row r="7">
      <c r="B7" s="17">
        <f t="shared" si="0"/>
        <v/>
      </c>
      <c r="C7" s="18">
        <f t="shared" si="1"/>
        <v/>
      </c>
      <c r="D7" s="35" t="n"/>
      <c r="E7" s="36" t="n"/>
      <c r="F7" s="36" t="n"/>
      <c r="G7" s="21">
        <f t="shared" si="2"/>
        <v/>
      </c>
      <c r="H7" s="21">
        <f t="shared" si="3"/>
        <v/>
      </c>
      <c r="I7" s="20">
        <f t="shared" si="4"/>
        <v/>
      </c>
      <c r="J7" s="37" t="n"/>
    </row>
    <row r="8">
      <c r="B8" s="17">
        <f t="shared" si="0"/>
        <v/>
      </c>
      <c r="C8" s="18">
        <f t="shared" si="1"/>
        <v/>
      </c>
      <c r="D8" s="35" t="n"/>
      <c r="E8" s="36" t="n"/>
      <c r="F8" s="36" t="n"/>
      <c r="G8" s="21">
        <f t="shared" si="2"/>
        <v/>
      </c>
      <c r="H8" s="21">
        <f t="shared" si="3"/>
        <v/>
      </c>
      <c r="I8" s="20">
        <f t="shared" si="4"/>
        <v/>
      </c>
      <c r="J8" s="37" t="n"/>
    </row>
    <row r="9">
      <c r="B9" s="17">
        <f t="shared" si="0"/>
        <v/>
      </c>
      <c r="C9" s="18">
        <f t="shared" si="1"/>
        <v/>
      </c>
      <c r="D9" s="35" t="n"/>
      <c r="E9" s="36" t="n"/>
      <c r="F9" s="36" t="n"/>
      <c r="G9" s="21">
        <f t="shared" si="2"/>
        <v/>
      </c>
      <c r="H9" s="21">
        <f t="shared" si="3"/>
        <v/>
      </c>
      <c r="I9" s="20">
        <f t="shared" si="4"/>
        <v/>
      </c>
      <c r="J9" s="37" t="n"/>
    </row>
    <row r="10">
      <c r="B10" s="17">
        <f t="shared" si="0"/>
        <v/>
      </c>
      <c r="C10" s="18">
        <f t="shared" si="1"/>
        <v/>
      </c>
      <c r="D10" s="35" t="n"/>
      <c r="E10" s="36" t="n"/>
      <c r="F10" s="36" t="n"/>
      <c r="G10" s="21">
        <f t="shared" si="2"/>
        <v/>
      </c>
      <c r="H10" s="21">
        <f t="shared" si="3"/>
        <v/>
      </c>
      <c r="I10" s="20">
        <f t="shared" si="4"/>
        <v/>
      </c>
      <c r="J10" s="37" t="n"/>
    </row>
  </sheetData>
  <conditionalFormatting sqref="I5:I10">
    <cfRule type="expression" priority="1" dxfId="11">
      <formula>LEFT(I5,2)="あと"</formula>
    </cfRule>
    <cfRule type="cellIs" priority="2" operator="equal" dxfId="10">
      <formula>"達成"</formula>
    </cfRule>
  </conditionalFormatting>
  <conditionalFormatting sqref="H5:H10">
    <cfRule type="expression" priority="3" dxfId="13">
      <formula>AND(ISNUMBER(H5),H5&lt;=2)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0" customWidth="1" min="11" max="11"/>
    <col width="3" customWidth="1" min="13" max="13"/>
    <col width="14" customWidth="1" min="14" max="14"/>
    <col width="22" customWidth="1" min="15" max="15"/>
  </cols>
  <sheetData>
    <row r="1">
      <c r="B1" s="1" t="inlineStr">
        <is>
          <t>設定</t>
        </is>
      </c>
    </row>
    <row r="2">
      <c r="B2" s="38" t="inlineStr">
        <is>
          <t>メンバー（氏名・区分・勤務曜日 ○×）</t>
        </is>
      </c>
      <c r="N2" s="38" t="inlineStr">
        <is>
          <t>祝日・会社休業日（追加可）</t>
        </is>
      </c>
    </row>
    <row r="3">
      <c r="D3" s="39" t="n">
        <v>1</v>
      </c>
      <c r="E3" s="39" t="n">
        <v>2</v>
      </c>
      <c r="F3" s="39" t="n">
        <v>3</v>
      </c>
      <c r="G3" s="39" t="n">
        <v>4</v>
      </c>
      <c r="H3" s="39" t="n">
        <v>5</v>
      </c>
      <c r="I3" s="39" t="n">
        <v>6</v>
      </c>
      <c r="J3" s="39" t="n">
        <v>7</v>
      </c>
      <c r="N3" s="2" t="inlineStr">
        <is>
          <t>2026/9〜2027年の祝日を入力済み。年末年始など会社休業日も追加できる</t>
        </is>
      </c>
    </row>
    <row r="4">
      <c r="B4" s="13" t="inlineStr">
        <is>
          <t>氏名</t>
        </is>
      </c>
      <c r="C4" s="13" t="inlineStr">
        <is>
          <t>区分</t>
        </is>
      </c>
      <c r="D4" s="13" t="inlineStr">
        <is>
          <t>月</t>
        </is>
      </c>
      <c r="E4" s="13" t="inlineStr">
        <is>
          <t>火</t>
        </is>
      </c>
      <c r="F4" s="13" t="inlineStr">
        <is>
          <t>水</t>
        </is>
      </c>
      <c r="G4" s="13" t="inlineStr">
        <is>
          <t>木</t>
        </is>
      </c>
      <c r="H4" s="13" t="inlineStr">
        <is>
          <t>金</t>
        </is>
      </c>
      <c r="I4" s="13" t="inlineStr">
        <is>
          <t>土</t>
        </is>
      </c>
      <c r="J4" s="13" t="inlineStr">
        <is>
          <t>日</t>
        </is>
      </c>
      <c r="K4" s="13" t="inlineStr">
        <is>
          <t>備考</t>
        </is>
      </c>
      <c r="N4" s="13" t="inlineStr">
        <is>
          <t>日付</t>
        </is>
      </c>
      <c r="O4" s="13" t="inlineStr">
        <is>
          <t>名称</t>
        </is>
      </c>
    </row>
    <row r="5">
      <c r="B5" s="40" t="inlineStr">
        <is>
          <t>正社員A</t>
        </is>
      </c>
      <c r="C5" s="41" t="inlineStr">
        <is>
          <t>正社員</t>
        </is>
      </c>
      <c r="D5" s="41" t="inlineStr">
        <is>
          <t>○</t>
        </is>
      </c>
      <c r="E5" s="41" t="inlineStr">
        <is>
          <t>○</t>
        </is>
      </c>
      <c r="F5" s="41" t="inlineStr">
        <is>
          <t>○</t>
        </is>
      </c>
      <c r="G5" s="41" t="inlineStr">
        <is>
          <t>○</t>
        </is>
      </c>
      <c r="H5" s="41" t="inlineStr">
        <is>
          <t>○</t>
        </is>
      </c>
      <c r="I5" s="41" t="inlineStr">
        <is>
          <t>×</t>
        </is>
      </c>
      <c r="J5" s="41" t="inlineStr">
        <is>
          <t>×</t>
        </is>
      </c>
      <c r="K5" s="37" t="inlineStr">
        <is>
          <t>氏名を実名に書き換える</t>
        </is>
      </c>
      <c r="N5" s="30" t="n">
        <v>46286</v>
      </c>
      <c r="O5" s="31" t="inlineStr">
        <is>
          <t>敬老の日</t>
        </is>
      </c>
    </row>
    <row r="6">
      <c r="B6" s="40" t="inlineStr">
        <is>
          <t>正社員B</t>
        </is>
      </c>
      <c r="C6" s="41" t="inlineStr">
        <is>
          <t>正社員</t>
        </is>
      </c>
      <c r="D6" s="41" t="inlineStr">
        <is>
          <t>○</t>
        </is>
      </c>
      <c r="E6" s="41" t="inlineStr">
        <is>
          <t>○</t>
        </is>
      </c>
      <c r="F6" s="41" t="inlineStr">
        <is>
          <t>○</t>
        </is>
      </c>
      <c r="G6" s="41" t="inlineStr">
        <is>
          <t>○</t>
        </is>
      </c>
      <c r="H6" s="41" t="inlineStr">
        <is>
          <t>○</t>
        </is>
      </c>
      <c r="I6" s="41" t="inlineStr">
        <is>
          <t>×</t>
        </is>
      </c>
      <c r="J6" s="41" t="inlineStr">
        <is>
          <t>×</t>
        </is>
      </c>
      <c r="K6" s="37" t="n"/>
      <c r="N6" s="30" t="n">
        <v>46287</v>
      </c>
      <c r="O6" s="31" t="inlineStr">
        <is>
          <t>国民の休日</t>
        </is>
      </c>
    </row>
    <row r="7">
      <c r="B7" s="40" t="inlineStr">
        <is>
          <t>派遣A</t>
        </is>
      </c>
      <c r="C7" s="41" t="inlineStr">
        <is>
          <t>派遣</t>
        </is>
      </c>
      <c r="D7" s="41" t="inlineStr">
        <is>
          <t>○</t>
        </is>
      </c>
      <c r="E7" s="41" t="inlineStr">
        <is>
          <t>○</t>
        </is>
      </c>
      <c r="F7" s="41" t="inlineStr">
        <is>
          <t>○</t>
        </is>
      </c>
      <c r="G7" s="41" t="inlineStr">
        <is>
          <t>○</t>
        </is>
      </c>
      <c r="H7" s="41" t="inlineStr">
        <is>
          <t>○</t>
        </is>
      </c>
      <c r="I7" s="41" t="inlineStr">
        <is>
          <t>×</t>
        </is>
      </c>
      <c r="J7" s="41" t="inlineStr">
        <is>
          <t>×</t>
        </is>
      </c>
      <c r="K7" s="37" t="inlineStr">
        <is>
          <t>契約の勤務曜日に合わせて○×を直す</t>
        </is>
      </c>
      <c r="N7" s="30" t="n">
        <v>46288</v>
      </c>
      <c r="O7" s="31" t="inlineStr">
        <is>
          <t>秋分の日</t>
        </is>
      </c>
    </row>
    <row r="8">
      <c r="B8" s="40" t="inlineStr">
        <is>
          <t>派遣B</t>
        </is>
      </c>
      <c r="C8" s="41" t="inlineStr">
        <is>
          <t>派遣</t>
        </is>
      </c>
      <c r="D8" s="41" t="inlineStr">
        <is>
          <t>○</t>
        </is>
      </c>
      <c r="E8" s="41" t="inlineStr">
        <is>
          <t>○</t>
        </is>
      </c>
      <c r="F8" s="41" t="inlineStr">
        <is>
          <t>○</t>
        </is>
      </c>
      <c r="G8" s="41" t="inlineStr">
        <is>
          <t>○</t>
        </is>
      </c>
      <c r="H8" s="41" t="inlineStr">
        <is>
          <t>○</t>
        </is>
      </c>
      <c r="I8" s="41" t="inlineStr">
        <is>
          <t>×</t>
        </is>
      </c>
      <c r="J8" s="41" t="inlineStr">
        <is>
          <t>×</t>
        </is>
      </c>
      <c r="K8" s="37" t="n"/>
      <c r="N8" s="30" t="n">
        <v>46307</v>
      </c>
      <c r="O8" s="31" t="inlineStr">
        <is>
          <t>スポーツの日</t>
        </is>
      </c>
    </row>
    <row r="9">
      <c r="B9" s="40" t="inlineStr"/>
      <c r="C9" s="41" t="inlineStr"/>
      <c r="D9" s="41" t="inlineStr">
        <is>
          <t>×</t>
        </is>
      </c>
      <c r="E9" s="41" t="inlineStr">
        <is>
          <t>×</t>
        </is>
      </c>
      <c r="F9" s="41" t="inlineStr">
        <is>
          <t>×</t>
        </is>
      </c>
      <c r="G9" s="41" t="inlineStr">
        <is>
          <t>×</t>
        </is>
      </c>
      <c r="H9" s="41" t="inlineStr">
        <is>
          <t>×</t>
        </is>
      </c>
      <c r="I9" s="41" t="inlineStr">
        <is>
          <t>×</t>
        </is>
      </c>
      <c r="J9" s="41" t="inlineStr">
        <is>
          <t>×</t>
        </is>
      </c>
      <c r="K9" s="37" t="inlineStr">
        <is>
          <t>増員したらここに追加</t>
        </is>
      </c>
      <c r="N9" s="30" t="n">
        <v>46329</v>
      </c>
      <c r="O9" s="31" t="inlineStr">
        <is>
          <t>文化の日</t>
        </is>
      </c>
    </row>
    <row r="10">
      <c r="B10" s="40" t="inlineStr"/>
      <c r="C10" s="41" t="inlineStr"/>
      <c r="D10" s="41" t="inlineStr">
        <is>
          <t>×</t>
        </is>
      </c>
      <c r="E10" s="41" t="inlineStr">
        <is>
          <t>×</t>
        </is>
      </c>
      <c r="F10" s="41" t="inlineStr">
        <is>
          <t>×</t>
        </is>
      </c>
      <c r="G10" s="41" t="inlineStr">
        <is>
          <t>×</t>
        </is>
      </c>
      <c r="H10" s="41" t="inlineStr">
        <is>
          <t>×</t>
        </is>
      </c>
      <c r="I10" s="41" t="inlineStr">
        <is>
          <t>×</t>
        </is>
      </c>
      <c r="J10" s="41" t="inlineStr">
        <is>
          <t>×</t>
        </is>
      </c>
      <c r="K10" s="37" t="n"/>
      <c r="N10" s="30" t="n">
        <v>46349</v>
      </c>
      <c r="O10" s="31" t="inlineStr">
        <is>
          <t>勤労感謝の日</t>
        </is>
      </c>
    </row>
    <row r="11">
      <c r="N11" s="30" t="n">
        <v>46385</v>
      </c>
      <c r="O11" s="31" t="inlineStr">
        <is>
          <t>年末休業（例）</t>
        </is>
      </c>
    </row>
    <row r="12">
      <c r="B12" s="38" t="inlineStr">
        <is>
          <t>営業曜日（×の曜日は休業日。祝日は右の一覧で指定）</t>
        </is>
      </c>
      <c r="N12" s="30" t="n">
        <v>46386</v>
      </c>
      <c r="O12" s="31" t="inlineStr">
        <is>
          <t>年末休業（例）</t>
        </is>
      </c>
    </row>
    <row r="13">
      <c r="B13" s="22" t="inlineStr">
        <is>
          <t>曜日</t>
        </is>
      </c>
      <c r="C13" s="5" t="n"/>
      <c r="D13" s="3" t="inlineStr">
        <is>
          <t>月</t>
        </is>
      </c>
      <c r="E13" s="3" t="inlineStr">
        <is>
          <t>火</t>
        </is>
      </c>
      <c r="F13" s="3" t="inlineStr">
        <is>
          <t>水</t>
        </is>
      </c>
      <c r="G13" s="3" t="inlineStr">
        <is>
          <t>木</t>
        </is>
      </c>
      <c r="H13" s="3" t="inlineStr">
        <is>
          <t>金</t>
        </is>
      </c>
      <c r="I13" s="3" t="inlineStr">
        <is>
          <t>土</t>
        </is>
      </c>
      <c r="J13" s="3" t="inlineStr">
        <is>
          <t>日</t>
        </is>
      </c>
      <c r="N13" s="30" t="n">
        <v>46387</v>
      </c>
      <c r="O13" s="31" t="inlineStr">
        <is>
          <t>年末休業（例）</t>
        </is>
      </c>
    </row>
    <row r="14">
      <c r="B14" s="42" t="inlineStr">
        <is>
          <t>曜日番号</t>
        </is>
      </c>
      <c r="C14" s="5" t="n"/>
      <c r="D14" s="43" t="n">
        <v>1</v>
      </c>
      <c r="E14" s="43" t="n">
        <v>2</v>
      </c>
      <c r="F14" s="43" t="n">
        <v>3</v>
      </c>
      <c r="G14" s="43" t="n">
        <v>4</v>
      </c>
      <c r="H14" s="43" t="n">
        <v>5</v>
      </c>
      <c r="I14" s="43" t="n">
        <v>6</v>
      </c>
      <c r="J14" s="43" t="n">
        <v>7</v>
      </c>
      <c r="N14" s="30" t="n">
        <v>46388</v>
      </c>
      <c r="O14" s="31" t="inlineStr">
        <is>
          <t>元日</t>
        </is>
      </c>
    </row>
    <row r="15">
      <c r="B15" s="22" t="inlineStr">
        <is>
          <t>営業</t>
        </is>
      </c>
      <c r="C15" s="5" t="n"/>
      <c r="D15" s="41" t="inlineStr">
        <is>
          <t>○</t>
        </is>
      </c>
      <c r="E15" s="41" t="inlineStr">
        <is>
          <t>○</t>
        </is>
      </c>
      <c r="F15" s="41" t="inlineStr">
        <is>
          <t>○</t>
        </is>
      </c>
      <c r="G15" s="41" t="inlineStr">
        <is>
          <t>○</t>
        </is>
      </c>
      <c r="H15" s="41" t="inlineStr">
        <is>
          <t>○</t>
        </is>
      </c>
      <c r="I15" s="41" t="inlineStr">
        <is>
          <t>×</t>
        </is>
      </c>
      <c r="J15" s="41" t="inlineStr">
        <is>
          <t>×</t>
        </is>
      </c>
      <c r="N15" s="30" t="n">
        <v>46389</v>
      </c>
      <c r="O15" s="31" t="inlineStr">
        <is>
          <t>年始休業（例）</t>
        </is>
      </c>
    </row>
    <row r="16">
      <c r="B16" s="42" t="inlineStr">
        <is>
          <t>勤務予定人数（自動）</t>
        </is>
      </c>
      <c r="C16" s="5" t="n"/>
      <c r="D16" s="20">
        <f t="shared" ref="D16:J16" si="0">COUNTIF(D$5:D$10,"○")</f>
        <v/>
      </c>
      <c r="E16" s="20">
        <f t="shared" si="0"/>
        <v/>
      </c>
      <c r="F16" s="20">
        <f t="shared" si="0"/>
        <v/>
      </c>
      <c r="G16" s="20">
        <f t="shared" si="0"/>
        <v/>
      </c>
      <c r="H16" s="20">
        <f t="shared" si="0"/>
        <v/>
      </c>
      <c r="I16" s="20">
        <f t="shared" si="0"/>
        <v/>
      </c>
      <c r="J16" s="20">
        <f t="shared" si="0"/>
        <v/>
      </c>
      <c r="N16" s="30" t="n">
        <v>46390</v>
      </c>
      <c r="O16" s="31" t="inlineStr">
        <is>
          <t>年始休業（例）</t>
        </is>
      </c>
    </row>
    <row r="17">
      <c r="N17" s="30" t="n">
        <v>46398</v>
      </c>
      <c r="O17" s="31" t="inlineStr">
        <is>
          <t>成人の日</t>
        </is>
      </c>
    </row>
    <row r="18">
      <c r="B18" s="38" t="inlineStr">
        <is>
          <t>ルール（人数の下限）</t>
        </is>
      </c>
      <c r="N18" s="30" t="n">
        <v>46429</v>
      </c>
      <c r="O18" s="31" t="inlineStr">
        <is>
          <t>建国記念の日</t>
        </is>
      </c>
    </row>
    <row r="19">
      <c r="B19" s="44" t="inlineStr">
        <is>
          <t>最低出勤人数（1日あたり）</t>
        </is>
      </c>
      <c r="C19" s="41" t="n">
        <v>2</v>
      </c>
      <c r="D19" s="26" t="inlineStr">
        <is>
          <t>← 4名体制で2なら、同じ日に休めるのは最大2名</t>
        </is>
      </c>
      <c r="N19" s="30" t="n">
        <v>46441</v>
      </c>
      <c r="O19" s="31" t="inlineStr">
        <is>
          <t>天皇誕生日</t>
        </is>
      </c>
    </row>
    <row r="20">
      <c r="B20" s="44" t="inlineStr">
        <is>
          <t>最低正社員出勤人数</t>
        </is>
      </c>
      <c r="C20" s="41" t="n">
        <v>1</v>
      </c>
      <c r="D20" s="26" t="inlineStr">
        <is>
          <t>← 派遣だけの出勤日（指揮命令者不在）を防ぐ</t>
        </is>
      </c>
      <c r="N20" s="30" t="n">
        <v>46468</v>
      </c>
      <c r="O20" s="31" t="inlineStr">
        <is>
          <t>春分の日 振替休日</t>
        </is>
      </c>
    </row>
    <row r="21">
      <c r="B21" s="44" t="inlineStr">
        <is>
          <t>申請期限の目安</t>
        </is>
      </c>
      <c r="C21" s="40" t="inlineStr">
        <is>
          <t>休みたい日の1週間前まで</t>
        </is>
      </c>
      <c r="D21" s="6" t="n"/>
      <c r="E21" s="6" t="n"/>
      <c r="F21" s="6" t="n"/>
      <c r="G21" s="6" t="n"/>
      <c r="H21" s="6" t="n"/>
      <c r="I21" s="6" t="n"/>
      <c r="J21" s="6" t="n"/>
      <c r="K21" s="5" t="n"/>
      <c r="N21" s="30" t="n">
        <v>46506</v>
      </c>
      <c r="O21" s="31" t="inlineStr">
        <is>
          <t>昭和の日</t>
        </is>
      </c>
    </row>
    <row r="22">
      <c r="N22" s="30" t="n">
        <v>46510</v>
      </c>
      <c r="O22" s="31" t="inlineStr">
        <is>
          <t>憲法記念日</t>
        </is>
      </c>
    </row>
    <row r="23">
      <c r="B23" s="38" t="inlineStr">
        <is>
          <t>記号（休暇申請の種別）　出勤係数: 1=出勤 / 0=休み / 0.5=半日</t>
        </is>
      </c>
      <c r="N23" s="30" t="n">
        <v>46511</v>
      </c>
      <c r="O23" s="31" t="inlineStr">
        <is>
          <t>みどりの日</t>
        </is>
      </c>
    </row>
    <row r="24">
      <c r="B24" s="13" t="inlineStr">
        <is>
          <t>記号</t>
        </is>
      </c>
      <c r="C24" s="13" t="inlineStr">
        <is>
          <t>意味</t>
        </is>
      </c>
      <c r="D24" s="13" t="inlineStr">
        <is>
          <t>係数</t>
        </is>
      </c>
      <c r="F24" s="13" t="inlineStr">
        <is>
          <t>備考</t>
        </is>
      </c>
      <c r="N24" s="30" t="n">
        <v>46512</v>
      </c>
      <c r="O24" s="31" t="inlineStr">
        <is>
          <t>こどもの日</t>
        </is>
      </c>
    </row>
    <row r="25">
      <c r="B25" s="45" t="inlineStr">
        <is>
          <t>有</t>
        </is>
      </c>
      <c r="C25" s="44" t="inlineStr">
        <is>
          <t>有給休暇</t>
        </is>
      </c>
      <c r="D25" s="46" t="n">
        <v>0</v>
      </c>
      <c r="E25" s="5" t="n"/>
      <c r="F25" s="47" t="inlineStr">
        <is>
          <t>正社員は年5日取得義務の対象</t>
        </is>
      </c>
      <c r="G25" s="6" t="n"/>
      <c r="H25" s="6" t="n"/>
      <c r="I25" s="6" t="n"/>
      <c r="J25" s="6" t="n"/>
      <c r="K25" s="5" t="n"/>
      <c r="N25" s="30" t="n">
        <v>46587</v>
      </c>
      <c r="O25" s="31" t="inlineStr">
        <is>
          <t>海の日</t>
        </is>
      </c>
    </row>
    <row r="26">
      <c r="B26" s="45" t="inlineStr">
        <is>
          <t>午前</t>
        </is>
      </c>
      <c r="C26" s="44" t="inlineStr">
        <is>
          <t>午前半休</t>
        </is>
      </c>
      <c r="D26" s="46" t="n">
        <v>0.5</v>
      </c>
      <c r="E26" s="5" t="n"/>
      <c r="F26" s="47" t="inlineStr">
        <is>
          <t>0.5日の有給として集計</t>
        </is>
      </c>
      <c r="G26" s="6" t="n"/>
      <c r="H26" s="6" t="n"/>
      <c r="I26" s="6" t="n"/>
      <c r="J26" s="6" t="n"/>
      <c r="K26" s="5" t="n"/>
      <c r="N26" s="30" t="n">
        <v>46610</v>
      </c>
      <c r="O26" s="31" t="inlineStr">
        <is>
          <t>山の日</t>
        </is>
      </c>
    </row>
    <row r="27">
      <c r="B27" s="45" t="inlineStr">
        <is>
          <t>午後</t>
        </is>
      </c>
      <c r="C27" s="44" t="inlineStr">
        <is>
          <t>午後半休</t>
        </is>
      </c>
      <c r="D27" s="46" t="n">
        <v>0.5</v>
      </c>
      <c r="E27" s="5" t="n"/>
      <c r="F27" s="47" t="inlineStr">
        <is>
          <t>0.5日の有給として集計</t>
        </is>
      </c>
      <c r="G27" s="6" t="n"/>
      <c r="H27" s="6" t="n"/>
      <c r="I27" s="6" t="n"/>
      <c r="J27" s="6" t="n"/>
      <c r="K27" s="5" t="n"/>
      <c r="N27" s="30" t="n">
        <v>46650</v>
      </c>
      <c r="O27" s="31" t="inlineStr">
        <is>
          <t>敬老の日</t>
        </is>
      </c>
    </row>
    <row r="28">
      <c r="B28" s="45" t="inlineStr">
        <is>
          <t>休</t>
        </is>
      </c>
      <c r="C28" s="44" t="inlineStr">
        <is>
          <t>公休・希望休</t>
        </is>
      </c>
      <c r="D28" s="46" t="n">
        <v>0</v>
      </c>
      <c r="E28" s="5" t="n"/>
      <c r="F28" s="47" t="inlineStr">
        <is>
          <t>無給の休み・シフト調整による休み</t>
        </is>
      </c>
      <c r="G28" s="6" t="n"/>
      <c r="H28" s="6" t="n"/>
      <c r="I28" s="6" t="n"/>
      <c r="J28" s="6" t="n"/>
      <c r="K28" s="5" t="n"/>
      <c r="N28" s="30" t="n">
        <v>46653</v>
      </c>
      <c r="O28" s="31" t="inlineStr">
        <is>
          <t>秋分の日</t>
        </is>
      </c>
    </row>
    <row r="29">
      <c r="B29" s="45" t="inlineStr">
        <is>
          <t>特</t>
        </is>
      </c>
      <c r="C29" s="44" t="inlineStr">
        <is>
          <t>特別休暇（慶弔など）</t>
        </is>
      </c>
      <c r="D29" s="46" t="n">
        <v>0</v>
      </c>
      <c r="E29" s="5" t="n"/>
      <c r="F29" s="47" t="n"/>
      <c r="G29" s="6" t="n"/>
      <c r="H29" s="6" t="n"/>
      <c r="I29" s="6" t="n"/>
      <c r="J29" s="6" t="n"/>
      <c r="K29" s="5" t="n"/>
      <c r="N29" s="30" t="n">
        <v>46671</v>
      </c>
      <c r="O29" s="31" t="inlineStr">
        <is>
          <t>スポーツの日</t>
        </is>
      </c>
    </row>
    <row r="30">
      <c r="B30" s="45" t="inlineStr">
        <is>
          <t>代</t>
        </is>
      </c>
      <c r="C30" s="44" t="inlineStr">
        <is>
          <t>代休・振替休日</t>
        </is>
      </c>
      <c r="D30" s="46" t="n">
        <v>0</v>
      </c>
      <c r="E30" s="5" t="n"/>
      <c r="F30" s="47" t="n"/>
      <c r="G30" s="6" t="n"/>
      <c r="H30" s="6" t="n"/>
      <c r="I30" s="6" t="n"/>
      <c r="J30" s="6" t="n"/>
      <c r="K30" s="5" t="n"/>
      <c r="N30" s="30" t="n">
        <v>46694</v>
      </c>
      <c r="O30" s="31" t="inlineStr">
        <is>
          <t>文化の日</t>
        </is>
      </c>
    </row>
    <row r="31">
      <c r="B31" s="45" t="inlineStr">
        <is>
          <t>欠</t>
        </is>
      </c>
      <c r="C31" s="44" t="inlineStr">
        <is>
          <t>欠勤</t>
        </is>
      </c>
      <c r="D31" s="46" t="n">
        <v>0</v>
      </c>
      <c r="E31" s="5" t="n"/>
      <c r="F31" s="47" t="inlineStr">
        <is>
          <t>事後登録用</t>
        </is>
      </c>
      <c r="G31" s="6" t="n"/>
      <c r="H31" s="6" t="n"/>
      <c r="I31" s="6" t="n"/>
      <c r="J31" s="6" t="n"/>
      <c r="K31" s="5" t="n"/>
      <c r="N31" s="30" t="n">
        <v>46714</v>
      </c>
      <c r="O31" s="31" t="inlineStr">
        <is>
          <t>勤労感謝の日</t>
        </is>
      </c>
    </row>
    <row r="32">
      <c r="B32" s="45" t="inlineStr">
        <is>
          <t>在</t>
        </is>
      </c>
      <c r="C32" s="44" t="inlineStr">
        <is>
          <t>在宅勤務</t>
        </is>
      </c>
      <c r="D32" s="46" t="n">
        <v>1</v>
      </c>
      <c r="E32" s="5" t="n"/>
      <c r="F32" s="47" t="inlineStr">
        <is>
          <t>出勤扱い。所在把握のために記録</t>
        </is>
      </c>
      <c r="G32" s="6" t="n"/>
      <c r="H32" s="6" t="n"/>
      <c r="I32" s="6" t="n"/>
      <c r="J32" s="6" t="n"/>
      <c r="K32" s="5" t="n"/>
    </row>
    <row r="33">
      <c r="B33" s="45" t="inlineStr">
        <is>
          <t>外</t>
        </is>
      </c>
      <c r="C33" s="44" t="inlineStr">
        <is>
          <t>外出・出張</t>
        </is>
      </c>
      <c r="D33" s="46" t="n">
        <v>1</v>
      </c>
      <c r="E33" s="5" t="n"/>
      <c r="F33" s="47" t="inlineStr">
        <is>
          <t>出勤扱い。事務所が無人になる場合は別途注意</t>
        </is>
      </c>
      <c r="G33" s="6" t="n"/>
      <c r="H33" s="6" t="n"/>
      <c r="I33" s="6" t="n"/>
      <c r="J33" s="6" t="n"/>
      <c r="K33" s="5" t="n"/>
    </row>
  </sheetData>
  <mergeCells count="25">
    <mergeCell ref="F24:K24"/>
    <mergeCell ref="B16:C16"/>
    <mergeCell ref="F33:K33"/>
    <mergeCell ref="F32:K32"/>
    <mergeCell ref="F26:K26"/>
    <mergeCell ref="D31:E31"/>
    <mergeCell ref="C21:K21"/>
    <mergeCell ref="F28:K28"/>
    <mergeCell ref="D27:E27"/>
    <mergeCell ref="F31:K31"/>
    <mergeCell ref="F27:K27"/>
    <mergeCell ref="B14:C14"/>
    <mergeCell ref="D32:E32"/>
    <mergeCell ref="B13:C13"/>
    <mergeCell ref="D28:E28"/>
    <mergeCell ref="F29:K29"/>
    <mergeCell ref="D25:E25"/>
    <mergeCell ref="F25:K25"/>
    <mergeCell ref="B15:C15"/>
    <mergeCell ref="D24:E24"/>
    <mergeCell ref="D30:E30"/>
    <mergeCell ref="D33:E33"/>
    <mergeCell ref="D29:E29"/>
    <mergeCell ref="D26:E26"/>
    <mergeCell ref="F30:K30"/>
  </mergeCells>
  <conditionalFormatting sqref="N5:O80">
    <cfRule type="expression" priority="1" dxfId="12">
      <formula>TRUE</formula>
    </cfRule>
  </conditionalFormatting>
  <dataValidations count="2">
    <dataValidation sqref="C5:C10" showDropDown="0" showInputMessage="0" showErrorMessage="0" allowBlank="1" type="list">
      <formula1>"正社員,派遣"</formula1>
    </dataValidation>
    <dataValidation sqref="D5:J10 D15:J15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10" customWidth="1" min="3" max="3"/>
  </cols>
  <sheetData>
    <row r="1">
      <c r="B1" s="1" t="inlineStr">
        <is>
          <t>使い方</t>
        </is>
      </c>
    </row>
    <row r="2">
      <c r="B2" s="2" t="inlineStr">
        <is>
          <t>正社員2名 + 派遣2名の少人数チーム向け。誰がいつ休むかを一箇所で見える化し、出勤人数が最低ラインを割らないように調整する。</t>
        </is>
      </c>
    </row>
    <row r="4">
      <c r="B4" s="48" t="n"/>
      <c r="C4" s="49" t="inlineStr">
        <is>
          <t>■ 基本の考え方</t>
        </is>
      </c>
    </row>
    <row r="5">
      <c r="C5" s="50" t="inlineStr">
        <is>
          <t>・入力するのは「休暇申請」シートだけ。1休暇につき1行（連休は日ごとに1行）。行の挿入はせず下に追記する。</t>
        </is>
      </c>
    </row>
    <row r="6">
      <c r="C6" s="50" t="inlineStr">
        <is>
          <t>・「シフト表」は年・月を切り替えるだけで自動で組み上がる。「有給管理」は承認済みの申請から自動集計。</t>
        </is>
      </c>
    </row>
    <row r="7">
      <c r="C7" s="50" t="inlineStr">
        <is>
          <t>・黄色のセル = 入力する場所。灰色のセル = 自動計算（触らない）。</t>
        </is>
      </c>
    </row>
    <row r="8">
      <c r="B8" s="48" t="n"/>
      <c r="C8" s="49" t="inlineStr">
        <is>
          <t>■ 最初にやること（5分）</t>
        </is>
      </c>
    </row>
    <row r="9">
      <c r="C9" s="50" t="inlineStr">
        <is>
          <t>1. 「設定」でメンバー4名の氏名・区分（正社員／派遣）・勤務曜日（○×）を入れる。</t>
        </is>
      </c>
    </row>
    <row r="10">
      <c r="C10" s="50" t="inlineStr">
        <is>
          <t>2. 「設定」の最低出勤人数（初期値 2名）と最低正社員出勤人数（初期値 1名）を確認する。</t>
        </is>
      </c>
    </row>
    <row r="11">
      <c r="C11" s="50" t="inlineStr">
        <is>
          <t>3. 「有給管理」に各人の付与日・付与日数・繰越を入れる（派遣の残数は派遣元管理なので不要）。</t>
        </is>
      </c>
    </row>
    <row r="12">
      <c r="C12" s="50" t="inlineStr">
        <is>
          <t>4. サンプルの申請4行（9/10に3人が重なって「要確認」が出る例）は削除してよい。</t>
        </is>
      </c>
    </row>
    <row r="13">
      <c r="B13" s="48" t="n"/>
      <c r="C13" s="49" t="inlineStr">
        <is>
          <t>■ 休みを取りたいとき（申請者）</t>
        </is>
      </c>
    </row>
    <row r="14">
      <c r="C14" s="50" t="inlineStr">
        <is>
          <t>1. 「休暇申請」に申請日・氏名・休暇日・種別・理由を1行追加。状態は「申請中」。</t>
        </is>
      </c>
    </row>
    <row r="15">
      <c r="C15" s="50" t="inlineStr">
        <is>
          <t>2. 「判定」列に「要確認」と出たら、その日は既に誰かが休む予定。日程をずらせないか先に相談する。</t>
        </is>
      </c>
    </row>
    <row r="16">
      <c r="B16" s="48" t="n"/>
      <c r="C16" s="49" t="inlineStr">
        <is>
          <t>■ 承認するとき（管理者）</t>
        </is>
      </c>
    </row>
    <row r="17">
      <c r="C17" s="50" t="inlineStr">
        <is>
          <t>1. 「シフト表」の「申請中を承認した場合の判定」行が「要注意」なら、承認すると最低人数を割る。</t>
        </is>
      </c>
    </row>
    <row r="18">
      <c r="C18" s="50" t="inlineStr">
        <is>
          <t>2. 問題なければ状態を「承認」に変え、承認者名を入れる。却下なら「却下」。</t>
        </is>
      </c>
    </row>
    <row r="19">
      <c r="C19" s="50" t="inlineStr">
        <is>
          <t>3. 派遣メンバーの休みは、承認と同時に派遣元（派遣会社）にも連絡する。派遣元にとって勤怠実績は請求根拠。</t>
        </is>
      </c>
    </row>
    <row r="20">
      <c r="B20" s="48" t="n"/>
      <c r="C20" s="49" t="inlineStr">
        <is>
          <t>■ 運用ルールの例</t>
        </is>
      </c>
    </row>
    <row r="21">
      <c r="C21" s="50" t="inlineStr">
        <is>
          <t>・申請は原則、休みたい日の1週間前まで。急な体調不良は当日連絡＋事後に「欠」または「有」で登録。</t>
        </is>
      </c>
    </row>
    <row r="22">
      <c r="C22" s="50" t="inlineStr">
        <is>
          <t>・同じ日に希望が重なったら「先に申請した人」より「直近3か月の休み取得が少ない人」を優先すると不公平感が出にくい。</t>
        </is>
      </c>
    </row>
    <row r="23">
      <c r="C23" s="50" t="inlineStr">
        <is>
          <t>・派遣2名だけの出勤日は作らない（指揮命令者が不在になる）。最低正社員出勤人数=1 はそのための設定。</t>
        </is>
      </c>
    </row>
    <row r="24">
      <c r="C24" s="50" t="inlineStr">
        <is>
          <t>・正社員は年5日の有給取得義務あり。「年5日義務」列が「あと○日」のままなら管理者側から取得日を提案する。</t>
        </is>
      </c>
    </row>
    <row r="25">
      <c r="B25" s="48" t="n"/>
      <c r="C25" s="49" t="inlineStr">
        <is>
          <t>■ 注意</t>
        </is>
      </c>
    </row>
    <row r="26">
      <c r="C26" s="50" t="inlineStr">
        <is>
          <t>・休暇申請の日付は必ず日付形式（2026/9/10）で入力。文字として入ると集計に乗らない。</t>
        </is>
      </c>
    </row>
    <row r="27">
      <c r="C27" s="50" t="inlineStr">
        <is>
          <t>・自動列は120行分。超える場合は「休暇申請」の各自動列の数式の範囲（5:124）を広げる。</t>
        </is>
      </c>
    </row>
    <row r="28">
      <c r="C28" s="50" t="inlineStr">
        <is>
          <t>・半休は「同日の他の休み」「申請中の判定」では1人分の休みとして数える（安全側）。承認後の出勤人数は0.5で数える。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2026-09-02T03:22:22Z</dcterms:created>
  <dcterms:modified xsi:type="dcterms:W3CDTF">2026-09-02T03:22:22Z</dcterms:modified>
</cp:coreProperties>
</file>