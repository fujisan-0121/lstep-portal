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シフト表" sheetId="1" state="visible" r:id="rId1"/>
    <sheet name="休暇申請" sheetId="2" state="visible" r:id="rId2"/>
    <sheet name="有給管理" sheetId="3" state="visible" r:id="rId3"/>
    <sheet name="設定" sheetId="4" state="visible" r:id="rId4"/>
    <sheet name="使い方" sheetId="5" state="visible" r:id="rId5"/>
  </sheets>
  <definedNames>
    <definedName name="STAFF_NAMES">設定!$B$5:$B$10</definedName>
    <definedName name="STAFF_DAYS">設定!$D$5:$J$10</definedName>
    <definedName name="BIZ_DAYS">設定!$C$20:$C$26</definedName>
    <definedName name="HOLIDAYS">設定!$N$5:$N$80</definedName>
    <definedName name="MIN_ALL">設定!$C$14</definedName>
    <definedName name="MIN_FT">設定!$C$15</definedName>
    <definedName name="SYM_TBL">設定!$B$30:$D$38</definedName>
    <definedName name="LOG_NAME">休暇申請!$C$5:$C$204</definedName>
    <definedName name="LOG_DATE">休暇申請!$D$5:$D$204</definedName>
    <definedName name="LOG_SYM">休暇申請!$E$5:$E$204</definedName>
    <definedName name="LOG_STATE">休暇申請!$G$5:$G$204</definedName>
    <definedName name="KEY_A">休暇申請!$L$5:$L$204</definedName>
    <definedName name="KEY_P">休暇申請!$M$5:$M$204</definedName>
    <definedName name="_xlnm._FilterDatabase" localSheetId="1" hidden="1">'休暇申請'!$B$4:$M$204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0.0"/>
    <numFmt numFmtId="165" formatCode="yyyy-mm-dd"/>
    <numFmt numFmtId="166" formatCode="yyyy/m/d"/>
    <numFmt numFmtId="167" formatCode="d"/>
    <numFmt numFmtId="168" formatCode="0.#"/>
  </numFmts>
  <fonts count="11">
    <font>
      <name val="Calibri"/>
      <family val="2"/>
      <color theme="1"/>
      <sz val="11"/>
      <scheme val="minor"/>
    </font>
    <font>
      <name val="Meiryo"/>
      <b val="1"/>
      <color rgb="001C1C3A"/>
      <sz val="16"/>
    </font>
    <font>
      <name val="Meiryo"/>
      <color rgb="008A8078"/>
      <sz val="9"/>
    </font>
    <font>
      <name val="Meiryo"/>
      <b val="1"/>
      <color rgb="001C1C3A"/>
      <sz val="11"/>
    </font>
    <font>
      <name val="Meiryo"/>
      <color rgb="00000000"/>
      <sz val="10"/>
    </font>
    <font>
      <name val="Meiryo"/>
      <b val="1"/>
      <color rgb="00FFFFFF"/>
      <sz val="10"/>
    </font>
    <font>
      <name val="Meiryo"/>
      <color rgb="008A8078"/>
      <sz val="10"/>
    </font>
    <font>
      <name val="Meiryo"/>
      <b val="1"/>
      <color rgb="00000000"/>
      <sz val="10"/>
    </font>
    <font>
      <name val="Meiryo"/>
      <color rgb="00008000"/>
      <sz val="10"/>
    </font>
    <font>
      <name val="Meiryo"/>
      <b val="1"/>
      <color rgb="00008000"/>
      <sz val="10"/>
    </font>
    <font>
      <name val="Meiryo"/>
      <color rgb="00000000"/>
      <sz val="9"/>
    </font>
  </fonts>
  <fills count="12">
    <fill>
      <patternFill/>
    </fill>
    <fill>
      <patternFill patternType="gray125"/>
    </fill>
    <fill>
      <patternFill patternType="solid">
        <fgColor rgb="00E8630A"/>
      </patternFill>
    </fill>
    <fill>
      <patternFill patternType="solid">
        <fgColor rgb="001C1C3A"/>
      </patternFill>
    </fill>
    <fill>
      <patternFill patternType="solid">
        <fgColor rgb="00FFF6DD"/>
      </patternFill>
    </fill>
    <fill>
      <patternFill patternType="solid">
        <fgColor rgb="00F3F3F3"/>
      </patternFill>
    </fill>
    <fill>
      <patternFill patternType="solid">
        <fgColor rgb="00F2EDE4"/>
      </patternFill>
    </fill>
    <fill>
      <patternFill patternType="solid">
        <fgColor rgb="00FADBD8"/>
      </patternFill>
    </fill>
    <fill>
      <patternFill patternType="solid">
        <fgColor rgb="00FCF3CF"/>
      </patternFill>
    </fill>
    <fill>
      <patternFill patternType="solid">
        <fgColor rgb="00D6EAF8"/>
      </patternFill>
    </fill>
    <fill>
      <patternFill patternType="solid">
        <fgColor rgb="00FDEBD0"/>
      </patternFill>
    </fill>
    <fill>
      <patternFill patternType="solid">
        <fgColor rgb="00D9D9D9"/>
      </patternFill>
    </fill>
  </fills>
  <borders count="9">
    <border>
      <left/>
      <right/>
      <top/>
      <bottom/>
      <diagonal/>
    </border>
    <border>
      <left style="thin">
        <color rgb="00E0D9CE"/>
      </left>
      <right style="thin">
        <color rgb="00E0D9CE"/>
      </right>
      <top style="thin">
        <color rgb="00E0D9CE"/>
      </top>
      <bottom style="thin">
        <color rgb="00E0D9CE"/>
      </bottom>
    </border>
    <border>
      <left/>
      <right/>
      <top style="thin">
        <color rgb="00E0D9CE"/>
      </top>
      <bottom/>
      <diagonal/>
    </border>
    <border>
      <left/>
      <right style="thin">
        <color rgb="00E0D9CE"/>
      </right>
      <top style="thin">
        <color rgb="00E0D9CE"/>
      </top>
      <bottom/>
      <diagonal/>
    </border>
    <border>
      <left/>
      <right/>
      <top style="thin">
        <color rgb="00E0D9CE"/>
      </top>
      <bottom style="thin">
        <color rgb="00E0D9CE"/>
      </bottom>
      <diagonal/>
    </border>
    <border>
      <left/>
      <right style="thin">
        <color rgb="00E0D9CE"/>
      </right>
      <top style="thin">
        <color rgb="00E0D9CE"/>
      </top>
      <bottom style="thin">
        <color rgb="00E0D9CE"/>
      </bottom>
      <diagonal/>
    </border>
    <border>
      <left style="thin">
        <color rgb="00E0D9CE"/>
      </left>
      <right/>
      <top/>
      <bottom/>
      <diagonal/>
    </border>
    <border>
      <left style="thin">
        <color rgb="00E0D9CE"/>
      </left>
      <right style="thin">
        <color rgb="00E0D9CE"/>
      </right>
      <top/>
      <bottom/>
      <diagonal/>
    </border>
    <border>
      <left style="thin">
        <color rgb="00E0D9CE"/>
      </left>
      <right style="thin">
        <color rgb="00E0D9CE"/>
      </right>
      <top/>
      <bottom style="thin">
        <color rgb="00E0D9CE"/>
      </bottom>
      <diagonal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7" fillId="6" borderId="1" applyAlignment="1" pivotButton="0" quotePrefix="0" xfId="0">
      <alignment horizontal="center" vertical="center"/>
    </xf>
    <xf numFmtId="1" fontId="7" fillId="4" borderId="1" applyAlignment="1" pivotButton="0" quotePrefix="0" xfId="0">
      <alignment horizontal="center" vertical="center"/>
    </xf>
    <xf numFmtId="0" fontId="0" fillId="0" borderId="5" pivotButton="0" quotePrefix="0" xfId="0"/>
    <xf numFmtId="0" fontId="0" fillId="0" borderId="4" pivotButton="0" quotePrefix="0" xfId="0"/>
    <xf numFmtId="0" fontId="8" fillId="5" borderId="1" applyAlignment="1" pivotButton="0" quotePrefix="0" xfId="0">
      <alignment horizontal="center" vertical="center"/>
    </xf>
    <xf numFmtId="0" fontId="10" fillId="7" borderId="0" applyAlignment="1" pivotButton="0" quotePrefix="0" xfId="0">
      <alignment horizontal="center"/>
    </xf>
    <xf numFmtId="0" fontId="10" fillId="8" borderId="0" applyAlignment="1" pivotButton="0" quotePrefix="0" xfId="0">
      <alignment horizontal="center"/>
    </xf>
    <xf numFmtId="0" fontId="10" fillId="9" borderId="0" applyAlignment="1" pivotButton="0" quotePrefix="0" xfId="0">
      <alignment horizontal="center"/>
    </xf>
    <xf numFmtId="0" fontId="10" fillId="10" borderId="0" applyAlignment="1" pivotButton="0" quotePrefix="0" xfId="0">
      <alignment horizontal="center"/>
    </xf>
    <xf numFmtId="0" fontId="10" fillId="11" borderId="0" applyAlignment="1" pivotButton="0" quotePrefix="0" xfId="0">
      <alignment horizontal="center"/>
    </xf>
    <xf numFmtId="0" fontId="5" fillId="3" borderId="1" applyAlignment="1" pivotButton="0" quotePrefix="0" xfId="0">
      <alignment horizontal="center" vertical="center" wrapText="1"/>
    </xf>
    <xf numFmtId="167" fontId="7" fillId="6" borderId="1" applyAlignment="1" pivotButton="0" quotePrefix="0" xfId="0">
      <alignment horizontal="center" vertical="center"/>
    </xf>
    <xf numFmtId="0" fontId="0" fillId="0" borderId="7" pivotButton="0" quotePrefix="0" xfId="0"/>
    <xf numFmtId="0" fontId="4" fillId="6" borderId="1" applyAlignment="1" pivotButton="0" quotePrefix="0" xfId="0">
      <alignment horizontal="center" vertical="center"/>
    </xf>
    <xf numFmtId="0" fontId="0" fillId="0" borderId="8" pivotButton="0" quotePrefix="0" xfId="0"/>
    <xf numFmtId="0" fontId="6" fillId="6" borderId="1" applyAlignment="1" pivotButton="0" quotePrefix="0" xfId="0">
      <alignment horizontal="center" vertical="center"/>
    </xf>
    <xf numFmtId="0" fontId="9" fillId="0" borderId="1" pivotButton="0" quotePrefix="0" xfId="0"/>
    <xf numFmtId="0" fontId="8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168" fontId="4" fillId="5" borderId="1" applyAlignment="1" pivotButton="0" quotePrefix="0" xfId="0">
      <alignment horizontal="center" vertical="center"/>
    </xf>
    <xf numFmtId="0" fontId="7" fillId="6" borderId="1" pivotButton="0" quotePrefix="0" xfId="0"/>
    <xf numFmtId="168" fontId="7" fillId="5" borderId="1" applyAlignment="1" pivotButton="0" quotePrefix="0" xfId="0">
      <alignment horizontal="center" vertical="center"/>
    </xf>
    <xf numFmtId="0" fontId="4" fillId="6" borderId="1" pivotButton="0" quotePrefix="0" xfId="0"/>
    <xf numFmtId="0" fontId="7" fillId="5" borderId="1" applyAlignment="1" pivotButton="0" quotePrefix="0" xfId="0">
      <alignment horizontal="center" vertical="center"/>
    </xf>
    <xf numFmtId="0" fontId="6" fillId="0" borderId="0" pivotButton="0" quotePrefix="0" xfId="0"/>
    <xf numFmtId="0" fontId="6" fillId="5" borderId="1" pivotButton="0" quotePrefix="0" xfId="0"/>
    <xf numFmtId="0" fontId="6" fillId="5" borderId="1" applyAlignment="1" pivotButton="0" quotePrefix="0" xfId="0">
      <alignment horizontal="center" vertical="center"/>
    </xf>
    <xf numFmtId="168" fontId="6" fillId="5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0" fontId="4" fillId="4" borderId="1" pivotButton="0" quotePrefix="0" xfId="0"/>
    <xf numFmtId="0" fontId="4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0" fontId="6" fillId="4" borderId="1" pivotButton="0" quotePrefix="0" xfId="0"/>
    <xf numFmtId="0" fontId="3" fillId="0" borderId="0" pivotButton="0" quotePrefix="0" xfId="0"/>
    <xf numFmtId="0" fontId="4" fillId="0" borderId="1" pivotButton="0" quotePrefix="0" xfId="0"/>
    <xf numFmtId="0" fontId="7" fillId="0" borderId="1" applyAlignment="1" pivotButton="0" quotePrefix="0" xfId="0">
      <alignment horizontal="center" vertical="center"/>
    </xf>
    <xf numFmtId="164" fontId="4" fillId="4" borderId="1" applyAlignment="1" pivotButton="0" quotePrefix="0" xfId="0">
      <alignment horizontal="center" vertical="center"/>
    </xf>
    <xf numFmtId="0" fontId="6" fillId="0" borderId="1" pivotButton="0" quotePrefix="0" xfId="0"/>
    <xf numFmtId="166" fontId="4" fillId="4" borderId="1" pivotButton="0" quotePrefix="0" xfId="0"/>
    <xf numFmtId="0" fontId="0" fillId="2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</cellXfs>
  <cellStyles count="1">
    <cellStyle name="Normal" xfId="0" builtinId="0" hidden="0"/>
  </cellStyles>
  <dxfs count="12">
    <dxf>
      <fill>
        <patternFill patternType="solid">
          <fgColor rgb="00D9D9D9"/>
        </patternFill>
      </fill>
    </dxf>
    <dxf>
      <font>
        <name val="Meiryo"/>
        <b val="1"/>
        <color rgb="00C0392B"/>
      </font>
    </dxf>
    <dxf>
      <font>
        <name val="Meiryo"/>
        <b val="1"/>
        <color rgb="002E86C1"/>
      </font>
    </dxf>
    <dxf>
      <fill>
        <patternFill patternType="solid">
          <fgColor rgb="00FDEBD0"/>
        </patternFill>
      </fill>
    </dxf>
    <dxf>
      <font>
        <name val="Meiryo"/>
        <b val="1"/>
        <color rgb="00922B21"/>
      </font>
      <fill>
        <patternFill patternType="solid">
          <fgColor rgb="00FADBD8"/>
        </patternFill>
      </fill>
    </dxf>
    <dxf>
      <fill>
        <patternFill patternType="solid">
          <fgColor rgb="00FCF3CF"/>
        </patternFill>
      </fill>
    </dxf>
    <dxf>
      <fill>
        <patternFill patternType="solid">
          <fgColor rgb="00D6EAF8"/>
        </patternFill>
      </fill>
    </dxf>
    <dxf>
      <font>
        <name val="Meiryo"/>
        <color rgb="00BBBBBB"/>
      </font>
    </dxf>
    <dxf>
      <font>
        <name val="Meiryo"/>
        <b val="1"/>
        <color rgb="00FFFFFF"/>
      </font>
      <fill>
        <patternFill patternType="solid">
          <fgColor rgb="00E74C3C"/>
        </patternFill>
      </fill>
    </dxf>
    <dxf>
      <fill>
        <patternFill patternType="solid">
          <fgColor rgb="00D5F5E3"/>
        </patternFill>
      </fill>
    </dxf>
    <dxf>
      <font>
        <name val="Meiryo"/>
        <b val="1"/>
        <color rgb="00FFFFFF"/>
      </font>
      <fill>
        <patternFill patternType="solid">
          <fgColor rgb="00F39C12"/>
        </patternFill>
      </fill>
    </dxf>
    <dxf>
      <fill>
        <patternFill patternType="solid">
          <fgColor rgb="00FADBD8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template</author>
  </authors>
  <commentList>
    <comment ref="C3" authorId="0" shapeId="0">
      <text>
        <t>表示したい年。</t>
      </text>
    </comment>
    <comment ref="E3" authorId="0" shapeId="0">
      <text>
        <t>表示したい月（1〜12）。</t>
      </text>
    </comment>
  </commentList>
</comments>
</file>

<file path=xl/comments/comment2.xml><?xml version="1.0" encoding="utf-8"?>
<comments xmlns="http://schemas.openxmlformats.org/spreadsheetml/2006/main">
  <authors>
    <author>template</author>
  </authors>
  <commentList>
    <comment ref="I5" authorId="0" shapeId="0">
      <text>
        <t>同じ日に休む予定（承認済み＋申請中）の人数。自分は除く。半休も1人として数える（安全側）。</t>
      </text>
    </comment>
    <comment ref="J5" authorId="0" shapeId="0">
      <text>
        <t>その曜日に勤務予定の人数 − 休む人数（自分を含む、承認＋申請中）。半休も1人分の休みとして数えるので、実際より厳しめに出る。</t>
      </text>
    </comment>
    <comment ref="K5" authorId="0" shapeId="0">
      <text>
        <t>出勤見込みが設定の最低出勤人数を割ると「要確認」。承認前に日程調整を。</t>
      </text>
    </comment>
  </commentList>
</comments>
</file>

<file path=xl/comments/comment3.xml><?xml version="1.0" encoding="utf-8"?>
<comments xmlns="http://schemas.openxmlformats.org/spreadsheetml/2006/main">
  <authors>
    <author>template</author>
  </authors>
  <commentList>
    <comment ref="D5" authorId="0" shapeId="0">
      <text>
        <t>直近の有給付与日。この日以降の承認済み取得を数える。</t>
      </text>
    </comment>
    <comment ref="E5" authorId="0" shapeId="0">
      <text>
        <t>付与日数の例（入社6か月で10日、1年6か月で11日 …）。実際の値に直す。</t>
      </text>
    </comment>
    <comment ref="I5" authorId="0" shapeId="0">
      <text>
        <t>年10日以上付与される人は、付与日から1年以内に5日取得させる義務がある（労基法39条7項）。</t>
      </text>
    </comment>
  </commentList>
</comments>
</file>

<file path=xl/comments/comment4.xml><?xml version="1.0" encoding="utf-8"?>
<comments xmlns="http://schemas.openxmlformats.org/spreadsheetml/2006/main">
  <authors>
    <author>template</author>
  </authors>
  <commentList>
    <comment ref="B5" authorId="0" shapeId="0">
      <text>
        <t>実際の氏名に書き換える。休暇申請・シフト表・有給管理はここを参照する。</t>
      </text>
    </comment>
    <comment ref="N5" authorId="0" shapeId="0">
      <text>
        <t>2026年9月〜2027年の祝日を入力済み（内閣府の祝日一覧に基づく。2027年分は公表後に要確認）。年末年始などの会社休業日も追加できる。</t>
      </text>
    </comment>
    <comment ref="C14" authorId="0" shapeId="0">
      <text>
        <t>4名体制で2名を下限にすると、同じ日に休めるのは最大2名。派遣だけの出勤日を避けたいなら下の正社員下限も合わせて使う。</t>
      </text>
    </comment>
    <comment ref="D30" authorId="0" shapeId="0">
      <text>
        <t>その日を何人分の出勤として数えるか。1=出勤、0=休み、0.5=半日。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sheet1.xml><?xml version="1.0" encoding="utf-8"?>
<worksheet xmlns="http://schemas.openxmlformats.org/spreadsheetml/2006/main">
  <sheetPr>
    <tabColor rgb="00E8630A"/>
    <outlinePr summaryBelow="1" summaryRight="1"/>
    <pageSetUpPr/>
  </sheetPr>
  <dimension ref="B1:AN34"/>
  <sheetViews>
    <sheetView showGridLines="0" workbookViewId="0">
      <pane xSplit="3" ySplit="7" topLeftCell="D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12" customWidth="1" min="2" max="2"/>
    <col width="8" customWidth="1" min="3" max="3"/>
    <col width="4.6" customWidth="1" min="4" max="4"/>
    <col width="4.6" customWidth="1" min="5" max="5"/>
    <col width="4.6" customWidth="1" min="6" max="6"/>
    <col width="4.6" customWidth="1" min="7" max="7"/>
    <col width="4.6" customWidth="1" min="8" max="8"/>
    <col width="4.6" customWidth="1" min="9" max="9"/>
    <col width="4.6" customWidth="1" min="10" max="10"/>
    <col width="4.6" customWidth="1" min="11" max="11"/>
    <col width="4.6" customWidth="1" min="12" max="12"/>
    <col width="4.6" customWidth="1" min="13" max="13"/>
    <col width="4.6" customWidth="1" min="14" max="14"/>
    <col width="4.6" customWidth="1" min="15" max="15"/>
    <col width="4.6" customWidth="1" min="16" max="16"/>
    <col width="4.6" customWidth="1" min="17" max="17"/>
    <col width="4.6" customWidth="1" min="18" max="18"/>
    <col width="4.6" customWidth="1" min="19" max="19"/>
    <col width="4.6" customWidth="1" min="20" max="20"/>
    <col width="4.6" customWidth="1" min="21" max="21"/>
    <col width="4.6" customWidth="1" min="22" max="22"/>
    <col width="4.6" customWidth="1" min="23" max="23"/>
    <col width="4.6" customWidth="1" min="24" max="24"/>
    <col width="4.6" customWidth="1" min="25" max="25"/>
    <col width="4.6" customWidth="1" min="26" max="26"/>
    <col width="4.6" customWidth="1" min="27" max="27"/>
    <col width="4.6" customWidth="1" min="28" max="28"/>
    <col width="4.6" customWidth="1" min="29" max="29"/>
    <col width="4.6" customWidth="1" min="30" max="30"/>
    <col width="4.6" customWidth="1" min="31" max="31"/>
    <col width="4.6" customWidth="1" min="32" max="32"/>
    <col width="4.6" customWidth="1" min="33" max="33"/>
    <col width="4.6" customWidth="1" min="34" max="34"/>
    <col width="2" customWidth="1" min="35" max="35"/>
    <col width="8" customWidth="1" min="36" max="36"/>
    <col width="8" customWidth="1" min="37" max="37"/>
    <col width="8" customWidth="1" min="38" max="38"/>
    <col width="8" customWidth="1" min="39" max="39"/>
    <col width="10" customWidth="1" min="40" max="40"/>
  </cols>
  <sheetData>
    <row r="1">
      <c r="B1" s="1" t="inlineStr">
        <is>
          <t>シフト表（自動）</t>
        </is>
      </c>
    </row>
    <row r="2">
      <c r="B2" s="2" t="inlineStr">
        <is>
          <t>年と月を変えるだけ。休暇申請の内容が自動で入る。( ) 付きは申請中。</t>
        </is>
      </c>
    </row>
    <row r="3">
      <c r="B3" s="3" t="inlineStr">
        <is>
          <t>年</t>
        </is>
      </c>
      <c r="C3" s="4" t="n">
        <v>2026</v>
      </c>
      <c r="D3" s="3" t="inlineStr">
        <is>
          <t>月</t>
        </is>
      </c>
      <c r="E3" s="4" t="n">
        <v>9</v>
      </c>
      <c r="F3" s="5" t="n"/>
      <c r="H3" s="3" t="inlineStr">
        <is>
          <t>最低出勤</t>
        </is>
      </c>
      <c r="I3" s="6" t="n"/>
      <c r="J3" s="5" t="n"/>
      <c r="K3" s="7">
        <f>設定!C14</f>
        <v/>
      </c>
      <c r="L3" s="3" t="inlineStr">
        <is>
          <t>最低正社員</t>
        </is>
      </c>
      <c r="M3" s="6" t="n"/>
      <c r="N3" s="6" t="n"/>
      <c r="O3" s="5" t="n"/>
      <c r="P3" s="7">
        <f>設定!C15</f>
        <v/>
      </c>
      <c r="AJ3" s="8" t="inlineStr">
        <is>
          <t>有/休/特/代/欠</t>
        </is>
      </c>
      <c r="AK3" s="9" t="inlineStr">
        <is>
          <t>午前/午後</t>
        </is>
      </c>
      <c r="AL3" s="10" t="inlineStr">
        <is>
          <t>在/外</t>
        </is>
      </c>
      <c r="AM3" s="11" t="inlineStr">
        <is>
          <t>(申請中)</t>
        </is>
      </c>
      <c r="AN3" s="12" t="inlineStr">
        <is>
          <t>休業日</t>
        </is>
      </c>
    </row>
    <row r="5" ht="18" customHeight="1">
      <c r="B5" s="13" t="inlineStr">
        <is>
          <t>氏名</t>
        </is>
      </c>
      <c r="C5" s="13" t="inlineStr">
        <is>
          <t>区分</t>
        </is>
      </c>
      <c r="D5" s="14">
        <f>DATE($C$3,$E$3,1)</f>
        <v/>
      </c>
      <c r="E5" s="14">
        <f>IF(D5="","",IF(DAY(D5+1)=1,"",D5+1))</f>
        <v/>
      </c>
      <c r="F5" s="14">
        <f>IF(E5="","",IF(DAY(E5+1)=1,"",E5+1))</f>
        <v/>
      </c>
      <c r="G5" s="14">
        <f>IF(F5="","",IF(DAY(F5+1)=1,"",F5+1))</f>
        <v/>
      </c>
      <c r="H5" s="14">
        <f>IF(G5="","",IF(DAY(G5+1)=1,"",G5+1))</f>
        <v/>
      </c>
      <c r="I5" s="14">
        <f>IF(H5="","",IF(DAY(H5+1)=1,"",H5+1))</f>
        <v/>
      </c>
      <c r="J5" s="14">
        <f>IF(I5="","",IF(DAY(I5+1)=1,"",I5+1))</f>
        <v/>
      </c>
      <c r="K5" s="14">
        <f>IF(J5="","",IF(DAY(J5+1)=1,"",J5+1))</f>
        <v/>
      </c>
      <c r="L5" s="14">
        <f>IF(K5="","",IF(DAY(K5+1)=1,"",K5+1))</f>
        <v/>
      </c>
      <c r="M5" s="14">
        <f>IF(L5="","",IF(DAY(L5+1)=1,"",L5+1))</f>
        <v/>
      </c>
      <c r="N5" s="14">
        <f>IF(M5="","",IF(DAY(M5+1)=1,"",M5+1))</f>
        <v/>
      </c>
      <c r="O5" s="14">
        <f>IF(N5="","",IF(DAY(N5+1)=1,"",N5+1))</f>
        <v/>
      </c>
      <c r="P5" s="14">
        <f>IF(O5="","",IF(DAY(O5+1)=1,"",O5+1))</f>
        <v/>
      </c>
      <c r="Q5" s="14">
        <f>IF(P5="","",IF(DAY(P5+1)=1,"",P5+1))</f>
        <v/>
      </c>
      <c r="R5" s="14">
        <f>IF(Q5="","",IF(DAY(Q5+1)=1,"",Q5+1))</f>
        <v/>
      </c>
      <c r="S5" s="14">
        <f>IF(R5="","",IF(DAY(R5+1)=1,"",R5+1))</f>
        <v/>
      </c>
      <c r="T5" s="14">
        <f>IF(S5="","",IF(DAY(S5+1)=1,"",S5+1))</f>
        <v/>
      </c>
      <c r="U5" s="14">
        <f>IF(T5="","",IF(DAY(T5+1)=1,"",T5+1))</f>
        <v/>
      </c>
      <c r="V5" s="14">
        <f>IF(U5="","",IF(DAY(U5+1)=1,"",U5+1))</f>
        <v/>
      </c>
      <c r="W5" s="14">
        <f>IF(V5="","",IF(DAY(V5+1)=1,"",V5+1))</f>
        <v/>
      </c>
      <c r="X5" s="14">
        <f>IF(W5="","",IF(DAY(W5+1)=1,"",W5+1))</f>
        <v/>
      </c>
      <c r="Y5" s="14">
        <f>IF(X5="","",IF(DAY(X5+1)=1,"",X5+1))</f>
        <v/>
      </c>
      <c r="Z5" s="14">
        <f>IF(Y5="","",IF(DAY(Y5+1)=1,"",Y5+1))</f>
        <v/>
      </c>
      <c r="AA5" s="14">
        <f>IF(Z5="","",IF(DAY(Z5+1)=1,"",Z5+1))</f>
        <v/>
      </c>
      <c r="AB5" s="14">
        <f>IF(AA5="","",IF(DAY(AA5+1)=1,"",AA5+1))</f>
        <v/>
      </c>
      <c r="AC5" s="14">
        <f>IF(AB5="","",IF(DAY(AB5+1)=1,"",AB5+1))</f>
        <v/>
      </c>
      <c r="AD5" s="14">
        <f>IF(AC5="","",IF(DAY(AC5+1)=1,"",AC5+1))</f>
        <v/>
      </c>
      <c r="AE5" s="14">
        <f>IF(AD5="","",IF(DAY(AD5+1)=1,"",AD5+1))</f>
        <v/>
      </c>
      <c r="AF5" s="14">
        <f>IF(AE5="","",IF(DAY(AE5+1)=1,"",AE5+1))</f>
        <v/>
      </c>
      <c r="AG5" s="14">
        <f>IF(AF5="","",IF(DAY(AF5+1)=1,"",AF5+1))</f>
        <v/>
      </c>
      <c r="AH5" s="14">
        <f>IF(AG5="","",IF(DAY(AG5+1)=1,"",AG5+1))</f>
        <v/>
      </c>
      <c r="AJ5" s="13" t="inlineStr">
        <is>
          <t>所定日数</t>
        </is>
      </c>
      <c r="AK5" s="13" t="inlineStr">
        <is>
          <t>出勤日数</t>
        </is>
      </c>
      <c r="AL5" s="13" t="inlineStr">
        <is>
          <t>休暇日数</t>
        </is>
      </c>
      <c r="AM5" s="13" t="inlineStr">
        <is>
          <t>有給日数</t>
        </is>
      </c>
    </row>
    <row r="6">
      <c r="B6" s="15" t="n"/>
      <c r="C6" s="15" t="n"/>
      <c r="D6" s="16">
        <f>IF(D5="","",CHOOSE(WEEKDAY(D5,2),"月","火","水","木","金","土","日"))</f>
        <v/>
      </c>
      <c r="E6" s="16">
        <f>IF(E5="","",CHOOSE(WEEKDAY(E5,2),"月","火","水","木","金","土","日"))</f>
        <v/>
      </c>
      <c r="F6" s="16">
        <f>IF(F5="","",CHOOSE(WEEKDAY(F5,2),"月","火","水","木","金","土","日"))</f>
        <v/>
      </c>
      <c r="G6" s="16">
        <f>IF(G5="","",CHOOSE(WEEKDAY(G5,2),"月","火","水","木","金","土","日"))</f>
        <v/>
      </c>
      <c r="H6" s="16">
        <f>IF(H5="","",CHOOSE(WEEKDAY(H5,2),"月","火","水","木","金","土","日"))</f>
        <v/>
      </c>
      <c r="I6" s="16">
        <f>IF(I5="","",CHOOSE(WEEKDAY(I5,2),"月","火","水","木","金","土","日"))</f>
        <v/>
      </c>
      <c r="J6" s="16">
        <f>IF(J5="","",CHOOSE(WEEKDAY(J5,2),"月","火","水","木","金","土","日"))</f>
        <v/>
      </c>
      <c r="K6" s="16">
        <f>IF(K5="","",CHOOSE(WEEKDAY(K5,2),"月","火","水","木","金","土","日"))</f>
        <v/>
      </c>
      <c r="L6" s="16">
        <f>IF(L5="","",CHOOSE(WEEKDAY(L5,2),"月","火","水","木","金","土","日"))</f>
        <v/>
      </c>
      <c r="M6" s="16">
        <f>IF(M5="","",CHOOSE(WEEKDAY(M5,2),"月","火","水","木","金","土","日"))</f>
        <v/>
      </c>
      <c r="N6" s="16">
        <f>IF(N5="","",CHOOSE(WEEKDAY(N5,2),"月","火","水","木","金","土","日"))</f>
        <v/>
      </c>
      <c r="O6" s="16">
        <f>IF(O5="","",CHOOSE(WEEKDAY(O5,2),"月","火","水","木","金","土","日"))</f>
        <v/>
      </c>
      <c r="P6" s="16">
        <f>IF(P5="","",CHOOSE(WEEKDAY(P5,2),"月","火","水","木","金","土","日"))</f>
        <v/>
      </c>
      <c r="Q6" s="16">
        <f>IF(Q5="","",CHOOSE(WEEKDAY(Q5,2),"月","火","水","木","金","土","日"))</f>
        <v/>
      </c>
      <c r="R6" s="16">
        <f>IF(R5="","",CHOOSE(WEEKDAY(R5,2),"月","火","水","木","金","土","日"))</f>
        <v/>
      </c>
      <c r="S6" s="16">
        <f>IF(S5="","",CHOOSE(WEEKDAY(S5,2),"月","火","水","木","金","土","日"))</f>
        <v/>
      </c>
      <c r="T6" s="16">
        <f>IF(T5="","",CHOOSE(WEEKDAY(T5,2),"月","火","水","木","金","土","日"))</f>
        <v/>
      </c>
      <c r="U6" s="16">
        <f>IF(U5="","",CHOOSE(WEEKDAY(U5,2),"月","火","水","木","金","土","日"))</f>
        <v/>
      </c>
      <c r="V6" s="16">
        <f>IF(V5="","",CHOOSE(WEEKDAY(V5,2),"月","火","水","木","金","土","日"))</f>
        <v/>
      </c>
      <c r="W6" s="16">
        <f>IF(W5="","",CHOOSE(WEEKDAY(W5,2),"月","火","水","木","金","土","日"))</f>
        <v/>
      </c>
      <c r="X6" s="16">
        <f>IF(X5="","",CHOOSE(WEEKDAY(X5,2),"月","火","水","木","金","土","日"))</f>
        <v/>
      </c>
      <c r="Y6" s="16">
        <f>IF(Y5="","",CHOOSE(WEEKDAY(Y5,2),"月","火","水","木","金","土","日"))</f>
        <v/>
      </c>
      <c r="Z6" s="16">
        <f>IF(Z5="","",CHOOSE(WEEKDAY(Z5,2),"月","火","水","木","金","土","日"))</f>
        <v/>
      </c>
      <c r="AA6" s="16">
        <f>IF(AA5="","",CHOOSE(WEEKDAY(AA5,2),"月","火","水","木","金","土","日"))</f>
        <v/>
      </c>
      <c r="AB6" s="16">
        <f>IF(AB5="","",CHOOSE(WEEKDAY(AB5,2),"月","火","水","木","金","土","日"))</f>
        <v/>
      </c>
      <c r="AC6" s="16">
        <f>IF(AC5="","",CHOOSE(WEEKDAY(AC5,2),"月","火","水","木","金","土","日"))</f>
        <v/>
      </c>
      <c r="AD6" s="16">
        <f>IF(AD5="","",CHOOSE(WEEKDAY(AD5,2),"月","火","水","木","金","土","日"))</f>
        <v/>
      </c>
      <c r="AE6" s="16">
        <f>IF(AE5="","",CHOOSE(WEEKDAY(AE5,2),"月","火","水","木","金","土","日"))</f>
        <v/>
      </c>
      <c r="AF6" s="16">
        <f>IF(AF5="","",CHOOSE(WEEKDAY(AF5,2),"月","火","水","木","金","土","日"))</f>
        <v/>
      </c>
      <c r="AG6" s="16">
        <f>IF(AG5="","",CHOOSE(WEEKDAY(AG5,2),"月","火","水","木","金","土","日"))</f>
        <v/>
      </c>
      <c r="AH6" s="16">
        <f>IF(AH5="","",CHOOSE(WEEKDAY(AH5,2),"月","火","水","木","金","土","日"))</f>
        <v/>
      </c>
      <c r="AJ6" s="15" t="n"/>
      <c r="AK6" s="15" t="n"/>
      <c r="AL6" s="15" t="n"/>
      <c r="AM6" s="15" t="n"/>
    </row>
    <row r="7">
      <c r="B7" s="17" t="n"/>
      <c r="C7" s="17" t="n"/>
      <c r="D7" s="18">
        <f>IF(D5="","",IF(OR(INDEX(BIZ_DAYS,WEEKDAY(D5,2))="×",COUNTIF(HOLIDAYS,D5)&gt;0),"休業",""))</f>
        <v/>
      </c>
      <c r="E7" s="18">
        <f>IF(E5="","",IF(OR(INDEX(BIZ_DAYS,WEEKDAY(E5,2))="×",COUNTIF(HOLIDAYS,E5)&gt;0),"休業",""))</f>
        <v/>
      </c>
      <c r="F7" s="18">
        <f>IF(F5="","",IF(OR(INDEX(BIZ_DAYS,WEEKDAY(F5,2))="×",COUNTIF(HOLIDAYS,F5)&gt;0),"休業",""))</f>
        <v/>
      </c>
      <c r="G7" s="18">
        <f>IF(G5="","",IF(OR(INDEX(BIZ_DAYS,WEEKDAY(G5,2))="×",COUNTIF(HOLIDAYS,G5)&gt;0),"休業",""))</f>
        <v/>
      </c>
      <c r="H7" s="18">
        <f>IF(H5="","",IF(OR(INDEX(BIZ_DAYS,WEEKDAY(H5,2))="×",COUNTIF(HOLIDAYS,H5)&gt;0),"休業",""))</f>
        <v/>
      </c>
      <c r="I7" s="18">
        <f>IF(I5="","",IF(OR(INDEX(BIZ_DAYS,WEEKDAY(I5,2))="×",COUNTIF(HOLIDAYS,I5)&gt;0),"休業",""))</f>
        <v/>
      </c>
      <c r="J7" s="18">
        <f>IF(J5="","",IF(OR(INDEX(BIZ_DAYS,WEEKDAY(J5,2))="×",COUNTIF(HOLIDAYS,J5)&gt;0),"休業",""))</f>
        <v/>
      </c>
      <c r="K7" s="18">
        <f>IF(K5="","",IF(OR(INDEX(BIZ_DAYS,WEEKDAY(K5,2))="×",COUNTIF(HOLIDAYS,K5)&gt;0),"休業",""))</f>
        <v/>
      </c>
      <c r="L7" s="18">
        <f>IF(L5="","",IF(OR(INDEX(BIZ_DAYS,WEEKDAY(L5,2))="×",COUNTIF(HOLIDAYS,L5)&gt;0),"休業",""))</f>
        <v/>
      </c>
      <c r="M7" s="18">
        <f>IF(M5="","",IF(OR(INDEX(BIZ_DAYS,WEEKDAY(M5,2))="×",COUNTIF(HOLIDAYS,M5)&gt;0),"休業",""))</f>
        <v/>
      </c>
      <c r="N7" s="18">
        <f>IF(N5="","",IF(OR(INDEX(BIZ_DAYS,WEEKDAY(N5,2))="×",COUNTIF(HOLIDAYS,N5)&gt;0),"休業",""))</f>
        <v/>
      </c>
      <c r="O7" s="18">
        <f>IF(O5="","",IF(OR(INDEX(BIZ_DAYS,WEEKDAY(O5,2))="×",COUNTIF(HOLIDAYS,O5)&gt;0),"休業",""))</f>
        <v/>
      </c>
      <c r="P7" s="18">
        <f>IF(P5="","",IF(OR(INDEX(BIZ_DAYS,WEEKDAY(P5,2))="×",COUNTIF(HOLIDAYS,P5)&gt;0),"休業",""))</f>
        <v/>
      </c>
      <c r="Q7" s="18">
        <f>IF(Q5="","",IF(OR(INDEX(BIZ_DAYS,WEEKDAY(Q5,2))="×",COUNTIF(HOLIDAYS,Q5)&gt;0),"休業",""))</f>
        <v/>
      </c>
      <c r="R7" s="18">
        <f>IF(R5="","",IF(OR(INDEX(BIZ_DAYS,WEEKDAY(R5,2))="×",COUNTIF(HOLIDAYS,R5)&gt;0),"休業",""))</f>
        <v/>
      </c>
      <c r="S7" s="18">
        <f>IF(S5="","",IF(OR(INDEX(BIZ_DAYS,WEEKDAY(S5,2))="×",COUNTIF(HOLIDAYS,S5)&gt;0),"休業",""))</f>
        <v/>
      </c>
      <c r="T7" s="18">
        <f>IF(T5="","",IF(OR(INDEX(BIZ_DAYS,WEEKDAY(T5,2))="×",COUNTIF(HOLIDAYS,T5)&gt;0),"休業",""))</f>
        <v/>
      </c>
      <c r="U7" s="18">
        <f>IF(U5="","",IF(OR(INDEX(BIZ_DAYS,WEEKDAY(U5,2))="×",COUNTIF(HOLIDAYS,U5)&gt;0),"休業",""))</f>
        <v/>
      </c>
      <c r="V7" s="18">
        <f>IF(V5="","",IF(OR(INDEX(BIZ_DAYS,WEEKDAY(V5,2))="×",COUNTIF(HOLIDAYS,V5)&gt;0),"休業",""))</f>
        <v/>
      </c>
      <c r="W7" s="18">
        <f>IF(W5="","",IF(OR(INDEX(BIZ_DAYS,WEEKDAY(W5,2))="×",COUNTIF(HOLIDAYS,W5)&gt;0),"休業",""))</f>
        <v/>
      </c>
      <c r="X7" s="18">
        <f>IF(X5="","",IF(OR(INDEX(BIZ_DAYS,WEEKDAY(X5,2))="×",COUNTIF(HOLIDAYS,X5)&gt;0),"休業",""))</f>
        <v/>
      </c>
      <c r="Y7" s="18">
        <f>IF(Y5="","",IF(OR(INDEX(BIZ_DAYS,WEEKDAY(Y5,2))="×",COUNTIF(HOLIDAYS,Y5)&gt;0),"休業",""))</f>
        <v/>
      </c>
      <c r="Z7" s="18">
        <f>IF(Z5="","",IF(OR(INDEX(BIZ_DAYS,WEEKDAY(Z5,2))="×",COUNTIF(HOLIDAYS,Z5)&gt;0),"休業",""))</f>
        <v/>
      </c>
      <c r="AA7" s="18">
        <f>IF(AA5="","",IF(OR(INDEX(BIZ_DAYS,WEEKDAY(AA5,2))="×",COUNTIF(HOLIDAYS,AA5)&gt;0),"休業",""))</f>
        <v/>
      </c>
      <c r="AB7" s="18">
        <f>IF(AB5="","",IF(OR(INDEX(BIZ_DAYS,WEEKDAY(AB5,2))="×",COUNTIF(HOLIDAYS,AB5)&gt;0),"休業",""))</f>
        <v/>
      </c>
      <c r="AC7" s="18">
        <f>IF(AC5="","",IF(OR(INDEX(BIZ_DAYS,WEEKDAY(AC5,2))="×",COUNTIF(HOLIDAYS,AC5)&gt;0),"休業",""))</f>
        <v/>
      </c>
      <c r="AD7" s="18">
        <f>IF(AD5="","",IF(OR(INDEX(BIZ_DAYS,WEEKDAY(AD5,2))="×",COUNTIF(HOLIDAYS,AD5)&gt;0),"休業",""))</f>
        <v/>
      </c>
      <c r="AE7" s="18">
        <f>IF(AE5="","",IF(OR(INDEX(BIZ_DAYS,WEEKDAY(AE5,2))="×",COUNTIF(HOLIDAYS,AE5)&gt;0),"休業",""))</f>
        <v/>
      </c>
      <c r="AF7" s="18">
        <f>IF(AF5="","",IF(OR(INDEX(BIZ_DAYS,WEEKDAY(AF5,2))="×",COUNTIF(HOLIDAYS,AF5)&gt;0),"休業",""))</f>
        <v/>
      </c>
      <c r="AG7" s="18">
        <f>IF(AG5="","",IF(OR(INDEX(BIZ_DAYS,WEEKDAY(AG5,2))="×",COUNTIF(HOLIDAYS,AG5)&gt;0),"休業",""))</f>
        <v/>
      </c>
      <c r="AH7" s="18">
        <f>IF(AH5="","",IF(OR(INDEX(BIZ_DAYS,WEEKDAY(AH5,2))="×",COUNTIF(HOLIDAYS,AH5)&gt;0),"休業",""))</f>
        <v/>
      </c>
      <c r="AJ7" s="17" t="n"/>
      <c r="AK7" s="17" t="n"/>
      <c r="AL7" s="17" t="n"/>
      <c r="AM7" s="17" t="n"/>
    </row>
    <row r="8">
      <c r="B8" s="19">
        <f>設定!B5</f>
        <v/>
      </c>
      <c r="C8" s="20">
        <f>設定!C5</f>
        <v/>
      </c>
      <c r="D8" s="21">
        <f>IF(OR($B8="",D$5=""),"",IF(D$7="休業","",IF(INDEX(STAFF_DAYS,MATCH($B8,STAFF_NAMES,0),WEEKDAY(D$5,2))="×","－",IFERROR(INDEX(LOG_SYM,MATCH($B8&amp;"|"&amp;TEXT(D$5,"yyyymmdd"),KEY_A,0)),IFERROR("("&amp;INDEX(LOG_SYM,MATCH($B8&amp;"|"&amp;TEXT(D$5,"yyyymmdd"),KEY_P,0))&amp;")","")))))</f>
        <v/>
      </c>
      <c r="E8" s="21">
        <f>IF(OR($B8="",E$5=""),"",IF(E$7="休業","",IF(INDEX(STAFF_DAYS,MATCH($B8,STAFF_NAMES,0),WEEKDAY(E$5,2))="×","－",IFERROR(INDEX(LOG_SYM,MATCH($B8&amp;"|"&amp;TEXT(E$5,"yyyymmdd"),KEY_A,0)),IFERROR("("&amp;INDEX(LOG_SYM,MATCH($B8&amp;"|"&amp;TEXT(E$5,"yyyymmdd"),KEY_P,0))&amp;")","")))))</f>
        <v/>
      </c>
      <c r="F8" s="21">
        <f>IF(OR($B8="",F$5=""),"",IF(F$7="休業","",IF(INDEX(STAFF_DAYS,MATCH($B8,STAFF_NAMES,0),WEEKDAY(F$5,2))="×","－",IFERROR(INDEX(LOG_SYM,MATCH($B8&amp;"|"&amp;TEXT(F$5,"yyyymmdd"),KEY_A,0)),IFERROR("("&amp;INDEX(LOG_SYM,MATCH($B8&amp;"|"&amp;TEXT(F$5,"yyyymmdd"),KEY_P,0))&amp;")","")))))</f>
        <v/>
      </c>
      <c r="G8" s="21">
        <f>IF(OR($B8="",G$5=""),"",IF(G$7="休業","",IF(INDEX(STAFF_DAYS,MATCH($B8,STAFF_NAMES,0),WEEKDAY(G$5,2))="×","－",IFERROR(INDEX(LOG_SYM,MATCH($B8&amp;"|"&amp;TEXT(G$5,"yyyymmdd"),KEY_A,0)),IFERROR("("&amp;INDEX(LOG_SYM,MATCH($B8&amp;"|"&amp;TEXT(G$5,"yyyymmdd"),KEY_P,0))&amp;")","")))))</f>
        <v/>
      </c>
      <c r="H8" s="21">
        <f>IF(OR($B8="",H$5=""),"",IF(H$7="休業","",IF(INDEX(STAFF_DAYS,MATCH($B8,STAFF_NAMES,0),WEEKDAY(H$5,2))="×","－",IFERROR(INDEX(LOG_SYM,MATCH($B8&amp;"|"&amp;TEXT(H$5,"yyyymmdd"),KEY_A,0)),IFERROR("("&amp;INDEX(LOG_SYM,MATCH($B8&amp;"|"&amp;TEXT(H$5,"yyyymmdd"),KEY_P,0))&amp;")","")))))</f>
        <v/>
      </c>
      <c r="I8" s="21">
        <f>IF(OR($B8="",I$5=""),"",IF(I$7="休業","",IF(INDEX(STAFF_DAYS,MATCH($B8,STAFF_NAMES,0),WEEKDAY(I$5,2))="×","－",IFERROR(INDEX(LOG_SYM,MATCH($B8&amp;"|"&amp;TEXT(I$5,"yyyymmdd"),KEY_A,0)),IFERROR("("&amp;INDEX(LOG_SYM,MATCH($B8&amp;"|"&amp;TEXT(I$5,"yyyymmdd"),KEY_P,0))&amp;")","")))))</f>
        <v/>
      </c>
      <c r="J8" s="21">
        <f>IF(OR($B8="",J$5=""),"",IF(J$7="休業","",IF(INDEX(STAFF_DAYS,MATCH($B8,STAFF_NAMES,0),WEEKDAY(J$5,2))="×","－",IFERROR(INDEX(LOG_SYM,MATCH($B8&amp;"|"&amp;TEXT(J$5,"yyyymmdd"),KEY_A,0)),IFERROR("("&amp;INDEX(LOG_SYM,MATCH($B8&amp;"|"&amp;TEXT(J$5,"yyyymmdd"),KEY_P,0))&amp;")","")))))</f>
        <v/>
      </c>
      <c r="K8" s="21">
        <f>IF(OR($B8="",K$5=""),"",IF(K$7="休業","",IF(INDEX(STAFF_DAYS,MATCH($B8,STAFF_NAMES,0),WEEKDAY(K$5,2))="×","－",IFERROR(INDEX(LOG_SYM,MATCH($B8&amp;"|"&amp;TEXT(K$5,"yyyymmdd"),KEY_A,0)),IFERROR("("&amp;INDEX(LOG_SYM,MATCH($B8&amp;"|"&amp;TEXT(K$5,"yyyymmdd"),KEY_P,0))&amp;")","")))))</f>
        <v/>
      </c>
      <c r="L8" s="21">
        <f>IF(OR($B8="",L$5=""),"",IF(L$7="休業","",IF(INDEX(STAFF_DAYS,MATCH($B8,STAFF_NAMES,0),WEEKDAY(L$5,2))="×","－",IFERROR(INDEX(LOG_SYM,MATCH($B8&amp;"|"&amp;TEXT(L$5,"yyyymmdd"),KEY_A,0)),IFERROR("("&amp;INDEX(LOG_SYM,MATCH($B8&amp;"|"&amp;TEXT(L$5,"yyyymmdd"),KEY_P,0))&amp;")","")))))</f>
        <v/>
      </c>
      <c r="M8" s="21">
        <f>IF(OR($B8="",M$5=""),"",IF(M$7="休業","",IF(INDEX(STAFF_DAYS,MATCH($B8,STAFF_NAMES,0),WEEKDAY(M$5,2))="×","－",IFERROR(INDEX(LOG_SYM,MATCH($B8&amp;"|"&amp;TEXT(M$5,"yyyymmdd"),KEY_A,0)),IFERROR("("&amp;INDEX(LOG_SYM,MATCH($B8&amp;"|"&amp;TEXT(M$5,"yyyymmdd"),KEY_P,0))&amp;")","")))))</f>
        <v/>
      </c>
      <c r="N8" s="21">
        <f>IF(OR($B8="",N$5=""),"",IF(N$7="休業","",IF(INDEX(STAFF_DAYS,MATCH($B8,STAFF_NAMES,0),WEEKDAY(N$5,2))="×","－",IFERROR(INDEX(LOG_SYM,MATCH($B8&amp;"|"&amp;TEXT(N$5,"yyyymmdd"),KEY_A,0)),IFERROR("("&amp;INDEX(LOG_SYM,MATCH($B8&amp;"|"&amp;TEXT(N$5,"yyyymmdd"),KEY_P,0))&amp;")","")))))</f>
        <v/>
      </c>
      <c r="O8" s="21">
        <f>IF(OR($B8="",O$5=""),"",IF(O$7="休業","",IF(INDEX(STAFF_DAYS,MATCH($B8,STAFF_NAMES,0),WEEKDAY(O$5,2))="×","－",IFERROR(INDEX(LOG_SYM,MATCH($B8&amp;"|"&amp;TEXT(O$5,"yyyymmdd"),KEY_A,0)),IFERROR("("&amp;INDEX(LOG_SYM,MATCH($B8&amp;"|"&amp;TEXT(O$5,"yyyymmdd"),KEY_P,0))&amp;")","")))))</f>
        <v/>
      </c>
      <c r="P8" s="21">
        <f>IF(OR($B8="",P$5=""),"",IF(P$7="休業","",IF(INDEX(STAFF_DAYS,MATCH($B8,STAFF_NAMES,0),WEEKDAY(P$5,2))="×","－",IFERROR(INDEX(LOG_SYM,MATCH($B8&amp;"|"&amp;TEXT(P$5,"yyyymmdd"),KEY_A,0)),IFERROR("("&amp;INDEX(LOG_SYM,MATCH($B8&amp;"|"&amp;TEXT(P$5,"yyyymmdd"),KEY_P,0))&amp;")","")))))</f>
        <v/>
      </c>
      <c r="Q8" s="21">
        <f>IF(OR($B8="",Q$5=""),"",IF(Q$7="休業","",IF(INDEX(STAFF_DAYS,MATCH($B8,STAFF_NAMES,0),WEEKDAY(Q$5,2))="×","－",IFERROR(INDEX(LOG_SYM,MATCH($B8&amp;"|"&amp;TEXT(Q$5,"yyyymmdd"),KEY_A,0)),IFERROR("("&amp;INDEX(LOG_SYM,MATCH($B8&amp;"|"&amp;TEXT(Q$5,"yyyymmdd"),KEY_P,0))&amp;")","")))))</f>
        <v/>
      </c>
      <c r="R8" s="21">
        <f>IF(OR($B8="",R$5=""),"",IF(R$7="休業","",IF(INDEX(STAFF_DAYS,MATCH($B8,STAFF_NAMES,0),WEEKDAY(R$5,2))="×","－",IFERROR(INDEX(LOG_SYM,MATCH($B8&amp;"|"&amp;TEXT(R$5,"yyyymmdd"),KEY_A,0)),IFERROR("("&amp;INDEX(LOG_SYM,MATCH($B8&amp;"|"&amp;TEXT(R$5,"yyyymmdd"),KEY_P,0))&amp;")","")))))</f>
        <v/>
      </c>
      <c r="S8" s="21">
        <f>IF(OR($B8="",S$5=""),"",IF(S$7="休業","",IF(INDEX(STAFF_DAYS,MATCH($B8,STAFF_NAMES,0),WEEKDAY(S$5,2))="×","－",IFERROR(INDEX(LOG_SYM,MATCH($B8&amp;"|"&amp;TEXT(S$5,"yyyymmdd"),KEY_A,0)),IFERROR("("&amp;INDEX(LOG_SYM,MATCH($B8&amp;"|"&amp;TEXT(S$5,"yyyymmdd"),KEY_P,0))&amp;")","")))))</f>
        <v/>
      </c>
      <c r="T8" s="21">
        <f>IF(OR($B8="",T$5=""),"",IF(T$7="休業","",IF(INDEX(STAFF_DAYS,MATCH($B8,STAFF_NAMES,0),WEEKDAY(T$5,2))="×","－",IFERROR(INDEX(LOG_SYM,MATCH($B8&amp;"|"&amp;TEXT(T$5,"yyyymmdd"),KEY_A,0)),IFERROR("("&amp;INDEX(LOG_SYM,MATCH($B8&amp;"|"&amp;TEXT(T$5,"yyyymmdd"),KEY_P,0))&amp;")","")))))</f>
        <v/>
      </c>
      <c r="U8" s="21">
        <f>IF(OR($B8="",U$5=""),"",IF(U$7="休業","",IF(INDEX(STAFF_DAYS,MATCH($B8,STAFF_NAMES,0),WEEKDAY(U$5,2))="×","－",IFERROR(INDEX(LOG_SYM,MATCH($B8&amp;"|"&amp;TEXT(U$5,"yyyymmdd"),KEY_A,0)),IFERROR("("&amp;INDEX(LOG_SYM,MATCH($B8&amp;"|"&amp;TEXT(U$5,"yyyymmdd"),KEY_P,0))&amp;")","")))))</f>
        <v/>
      </c>
      <c r="V8" s="21">
        <f>IF(OR($B8="",V$5=""),"",IF(V$7="休業","",IF(INDEX(STAFF_DAYS,MATCH($B8,STAFF_NAMES,0),WEEKDAY(V$5,2))="×","－",IFERROR(INDEX(LOG_SYM,MATCH($B8&amp;"|"&amp;TEXT(V$5,"yyyymmdd"),KEY_A,0)),IFERROR("("&amp;INDEX(LOG_SYM,MATCH($B8&amp;"|"&amp;TEXT(V$5,"yyyymmdd"),KEY_P,0))&amp;")","")))))</f>
        <v/>
      </c>
      <c r="W8" s="21">
        <f>IF(OR($B8="",W$5=""),"",IF(W$7="休業","",IF(INDEX(STAFF_DAYS,MATCH($B8,STAFF_NAMES,0),WEEKDAY(W$5,2))="×","－",IFERROR(INDEX(LOG_SYM,MATCH($B8&amp;"|"&amp;TEXT(W$5,"yyyymmdd"),KEY_A,0)),IFERROR("("&amp;INDEX(LOG_SYM,MATCH($B8&amp;"|"&amp;TEXT(W$5,"yyyymmdd"),KEY_P,0))&amp;")","")))))</f>
        <v/>
      </c>
      <c r="X8" s="21">
        <f>IF(OR($B8="",X$5=""),"",IF(X$7="休業","",IF(INDEX(STAFF_DAYS,MATCH($B8,STAFF_NAMES,0),WEEKDAY(X$5,2))="×","－",IFERROR(INDEX(LOG_SYM,MATCH($B8&amp;"|"&amp;TEXT(X$5,"yyyymmdd"),KEY_A,0)),IFERROR("("&amp;INDEX(LOG_SYM,MATCH($B8&amp;"|"&amp;TEXT(X$5,"yyyymmdd"),KEY_P,0))&amp;")","")))))</f>
        <v/>
      </c>
      <c r="Y8" s="21">
        <f>IF(OR($B8="",Y$5=""),"",IF(Y$7="休業","",IF(INDEX(STAFF_DAYS,MATCH($B8,STAFF_NAMES,0),WEEKDAY(Y$5,2))="×","－",IFERROR(INDEX(LOG_SYM,MATCH($B8&amp;"|"&amp;TEXT(Y$5,"yyyymmdd"),KEY_A,0)),IFERROR("("&amp;INDEX(LOG_SYM,MATCH($B8&amp;"|"&amp;TEXT(Y$5,"yyyymmdd"),KEY_P,0))&amp;")","")))))</f>
        <v/>
      </c>
      <c r="Z8" s="21">
        <f>IF(OR($B8="",Z$5=""),"",IF(Z$7="休業","",IF(INDEX(STAFF_DAYS,MATCH($B8,STAFF_NAMES,0),WEEKDAY(Z$5,2))="×","－",IFERROR(INDEX(LOG_SYM,MATCH($B8&amp;"|"&amp;TEXT(Z$5,"yyyymmdd"),KEY_A,0)),IFERROR("("&amp;INDEX(LOG_SYM,MATCH($B8&amp;"|"&amp;TEXT(Z$5,"yyyymmdd"),KEY_P,0))&amp;")","")))))</f>
        <v/>
      </c>
      <c r="AA8" s="21">
        <f>IF(OR($B8="",AA$5=""),"",IF(AA$7="休業","",IF(INDEX(STAFF_DAYS,MATCH($B8,STAFF_NAMES,0),WEEKDAY(AA$5,2))="×","－",IFERROR(INDEX(LOG_SYM,MATCH($B8&amp;"|"&amp;TEXT(AA$5,"yyyymmdd"),KEY_A,0)),IFERROR("("&amp;INDEX(LOG_SYM,MATCH($B8&amp;"|"&amp;TEXT(AA$5,"yyyymmdd"),KEY_P,0))&amp;")","")))))</f>
        <v/>
      </c>
      <c r="AB8" s="21">
        <f>IF(OR($B8="",AB$5=""),"",IF(AB$7="休業","",IF(INDEX(STAFF_DAYS,MATCH($B8,STAFF_NAMES,0),WEEKDAY(AB$5,2))="×","－",IFERROR(INDEX(LOG_SYM,MATCH($B8&amp;"|"&amp;TEXT(AB$5,"yyyymmdd"),KEY_A,0)),IFERROR("("&amp;INDEX(LOG_SYM,MATCH($B8&amp;"|"&amp;TEXT(AB$5,"yyyymmdd"),KEY_P,0))&amp;")","")))))</f>
        <v/>
      </c>
      <c r="AC8" s="21">
        <f>IF(OR($B8="",AC$5=""),"",IF(AC$7="休業","",IF(INDEX(STAFF_DAYS,MATCH($B8,STAFF_NAMES,0),WEEKDAY(AC$5,2))="×","－",IFERROR(INDEX(LOG_SYM,MATCH($B8&amp;"|"&amp;TEXT(AC$5,"yyyymmdd"),KEY_A,0)),IFERROR("("&amp;INDEX(LOG_SYM,MATCH($B8&amp;"|"&amp;TEXT(AC$5,"yyyymmdd"),KEY_P,0))&amp;")","")))))</f>
        <v/>
      </c>
      <c r="AD8" s="21">
        <f>IF(OR($B8="",AD$5=""),"",IF(AD$7="休業","",IF(INDEX(STAFF_DAYS,MATCH($B8,STAFF_NAMES,0),WEEKDAY(AD$5,2))="×","－",IFERROR(INDEX(LOG_SYM,MATCH($B8&amp;"|"&amp;TEXT(AD$5,"yyyymmdd"),KEY_A,0)),IFERROR("("&amp;INDEX(LOG_SYM,MATCH($B8&amp;"|"&amp;TEXT(AD$5,"yyyymmdd"),KEY_P,0))&amp;")","")))))</f>
        <v/>
      </c>
      <c r="AE8" s="21">
        <f>IF(OR($B8="",AE$5=""),"",IF(AE$7="休業","",IF(INDEX(STAFF_DAYS,MATCH($B8,STAFF_NAMES,0),WEEKDAY(AE$5,2))="×","－",IFERROR(INDEX(LOG_SYM,MATCH($B8&amp;"|"&amp;TEXT(AE$5,"yyyymmdd"),KEY_A,0)),IFERROR("("&amp;INDEX(LOG_SYM,MATCH($B8&amp;"|"&amp;TEXT(AE$5,"yyyymmdd"),KEY_P,0))&amp;")","")))))</f>
        <v/>
      </c>
      <c r="AF8" s="21">
        <f>IF(OR($B8="",AF$5=""),"",IF(AF$7="休業","",IF(INDEX(STAFF_DAYS,MATCH($B8,STAFF_NAMES,0),WEEKDAY(AF$5,2))="×","－",IFERROR(INDEX(LOG_SYM,MATCH($B8&amp;"|"&amp;TEXT(AF$5,"yyyymmdd"),KEY_A,0)),IFERROR("("&amp;INDEX(LOG_SYM,MATCH($B8&amp;"|"&amp;TEXT(AF$5,"yyyymmdd"),KEY_P,0))&amp;")","")))))</f>
        <v/>
      </c>
      <c r="AG8" s="21">
        <f>IF(OR($B8="",AG$5=""),"",IF(AG$7="休業","",IF(INDEX(STAFF_DAYS,MATCH($B8,STAFF_NAMES,0),WEEKDAY(AG$5,2))="×","－",IFERROR(INDEX(LOG_SYM,MATCH($B8&amp;"|"&amp;TEXT(AG$5,"yyyymmdd"),KEY_A,0)),IFERROR("("&amp;INDEX(LOG_SYM,MATCH($B8&amp;"|"&amp;TEXT(AG$5,"yyyymmdd"),KEY_P,0))&amp;")","")))))</f>
        <v/>
      </c>
      <c r="AH8" s="21">
        <f>IF(OR($B8="",AH$5=""),"",IF(AH$7="休業","",IF(INDEX(STAFF_DAYS,MATCH($B8,STAFF_NAMES,0),WEEKDAY(AH$5,2))="×","－",IFERROR(INDEX(LOG_SYM,MATCH($B8&amp;"|"&amp;TEXT(AH$5,"yyyymmdd"),KEY_A,0)),IFERROR("("&amp;INDEX(LOG_SYM,MATCH($B8&amp;"|"&amp;TEXT(AH$5,"yyyymmdd"),KEY_P,0))&amp;")","")))))</f>
        <v/>
      </c>
      <c r="AJ8" s="22">
        <f>IF($B8="","",COUNT(D23:AH23))</f>
        <v/>
      </c>
      <c r="AK8" s="23">
        <f>IF($B8="","",SUM(D23:AH23))</f>
        <v/>
      </c>
      <c r="AL8" s="23">
        <f>IF($B8="","",AJ8-AK8)</f>
        <v/>
      </c>
      <c r="AM8" s="23">
        <f>IF($B8="","",COUNTIF(D8:AH8,"有")+0.5*(COUNTIF(D8:AH8,"午前")+COUNTIF(D8:AH8,"午後")))</f>
        <v/>
      </c>
    </row>
    <row r="9">
      <c r="B9" s="19">
        <f>設定!B6</f>
        <v/>
      </c>
      <c r="C9" s="20">
        <f>設定!C6</f>
        <v/>
      </c>
      <c r="D9" s="21">
        <f>IF(OR($B9="",D$5=""),"",IF(D$7="休業","",IF(INDEX(STAFF_DAYS,MATCH($B9,STAFF_NAMES,0),WEEKDAY(D$5,2))="×","－",IFERROR(INDEX(LOG_SYM,MATCH($B9&amp;"|"&amp;TEXT(D$5,"yyyymmdd"),KEY_A,0)),IFERROR("("&amp;INDEX(LOG_SYM,MATCH($B9&amp;"|"&amp;TEXT(D$5,"yyyymmdd"),KEY_P,0))&amp;")","")))))</f>
        <v/>
      </c>
      <c r="E9" s="21">
        <f>IF(OR($B9="",E$5=""),"",IF(E$7="休業","",IF(INDEX(STAFF_DAYS,MATCH($B9,STAFF_NAMES,0),WEEKDAY(E$5,2))="×","－",IFERROR(INDEX(LOG_SYM,MATCH($B9&amp;"|"&amp;TEXT(E$5,"yyyymmdd"),KEY_A,0)),IFERROR("("&amp;INDEX(LOG_SYM,MATCH($B9&amp;"|"&amp;TEXT(E$5,"yyyymmdd"),KEY_P,0))&amp;")","")))))</f>
        <v/>
      </c>
      <c r="F9" s="21">
        <f>IF(OR($B9="",F$5=""),"",IF(F$7="休業","",IF(INDEX(STAFF_DAYS,MATCH($B9,STAFF_NAMES,0),WEEKDAY(F$5,2))="×","－",IFERROR(INDEX(LOG_SYM,MATCH($B9&amp;"|"&amp;TEXT(F$5,"yyyymmdd"),KEY_A,0)),IFERROR("("&amp;INDEX(LOG_SYM,MATCH($B9&amp;"|"&amp;TEXT(F$5,"yyyymmdd"),KEY_P,0))&amp;")","")))))</f>
        <v/>
      </c>
      <c r="G9" s="21">
        <f>IF(OR($B9="",G$5=""),"",IF(G$7="休業","",IF(INDEX(STAFF_DAYS,MATCH($B9,STAFF_NAMES,0),WEEKDAY(G$5,2))="×","－",IFERROR(INDEX(LOG_SYM,MATCH($B9&amp;"|"&amp;TEXT(G$5,"yyyymmdd"),KEY_A,0)),IFERROR("("&amp;INDEX(LOG_SYM,MATCH($B9&amp;"|"&amp;TEXT(G$5,"yyyymmdd"),KEY_P,0))&amp;")","")))))</f>
        <v/>
      </c>
      <c r="H9" s="21">
        <f>IF(OR($B9="",H$5=""),"",IF(H$7="休業","",IF(INDEX(STAFF_DAYS,MATCH($B9,STAFF_NAMES,0),WEEKDAY(H$5,2))="×","－",IFERROR(INDEX(LOG_SYM,MATCH($B9&amp;"|"&amp;TEXT(H$5,"yyyymmdd"),KEY_A,0)),IFERROR("("&amp;INDEX(LOG_SYM,MATCH($B9&amp;"|"&amp;TEXT(H$5,"yyyymmdd"),KEY_P,0))&amp;")","")))))</f>
        <v/>
      </c>
      <c r="I9" s="21">
        <f>IF(OR($B9="",I$5=""),"",IF(I$7="休業","",IF(INDEX(STAFF_DAYS,MATCH($B9,STAFF_NAMES,0),WEEKDAY(I$5,2))="×","－",IFERROR(INDEX(LOG_SYM,MATCH($B9&amp;"|"&amp;TEXT(I$5,"yyyymmdd"),KEY_A,0)),IFERROR("("&amp;INDEX(LOG_SYM,MATCH($B9&amp;"|"&amp;TEXT(I$5,"yyyymmdd"),KEY_P,0))&amp;")","")))))</f>
        <v/>
      </c>
      <c r="J9" s="21">
        <f>IF(OR($B9="",J$5=""),"",IF(J$7="休業","",IF(INDEX(STAFF_DAYS,MATCH($B9,STAFF_NAMES,0),WEEKDAY(J$5,2))="×","－",IFERROR(INDEX(LOG_SYM,MATCH($B9&amp;"|"&amp;TEXT(J$5,"yyyymmdd"),KEY_A,0)),IFERROR("("&amp;INDEX(LOG_SYM,MATCH($B9&amp;"|"&amp;TEXT(J$5,"yyyymmdd"),KEY_P,0))&amp;")","")))))</f>
        <v/>
      </c>
      <c r="K9" s="21">
        <f>IF(OR($B9="",K$5=""),"",IF(K$7="休業","",IF(INDEX(STAFF_DAYS,MATCH($B9,STAFF_NAMES,0),WEEKDAY(K$5,2))="×","－",IFERROR(INDEX(LOG_SYM,MATCH($B9&amp;"|"&amp;TEXT(K$5,"yyyymmdd"),KEY_A,0)),IFERROR("("&amp;INDEX(LOG_SYM,MATCH($B9&amp;"|"&amp;TEXT(K$5,"yyyymmdd"),KEY_P,0))&amp;")","")))))</f>
        <v/>
      </c>
      <c r="L9" s="21">
        <f>IF(OR($B9="",L$5=""),"",IF(L$7="休業","",IF(INDEX(STAFF_DAYS,MATCH($B9,STAFF_NAMES,0),WEEKDAY(L$5,2))="×","－",IFERROR(INDEX(LOG_SYM,MATCH($B9&amp;"|"&amp;TEXT(L$5,"yyyymmdd"),KEY_A,0)),IFERROR("("&amp;INDEX(LOG_SYM,MATCH($B9&amp;"|"&amp;TEXT(L$5,"yyyymmdd"),KEY_P,0))&amp;")","")))))</f>
        <v/>
      </c>
      <c r="M9" s="21">
        <f>IF(OR($B9="",M$5=""),"",IF(M$7="休業","",IF(INDEX(STAFF_DAYS,MATCH($B9,STAFF_NAMES,0),WEEKDAY(M$5,2))="×","－",IFERROR(INDEX(LOG_SYM,MATCH($B9&amp;"|"&amp;TEXT(M$5,"yyyymmdd"),KEY_A,0)),IFERROR("("&amp;INDEX(LOG_SYM,MATCH($B9&amp;"|"&amp;TEXT(M$5,"yyyymmdd"),KEY_P,0))&amp;")","")))))</f>
        <v/>
      </c>
      <c r="N9" s="21">
        <f>IF(OR($B9="",N$5=""),"",IF(N$7="休業","",IF(INDEX(STAFF_DAYS,MATCH($B9,STAFF_NAMES,0),WEEKDAY(N$5,2))="×","－",IFERROR(INDEX(LOG_SYM,MATCH($B9&amp;"|"&amp;TEXT(N$5,"yyyymmdd"),KEY_A,0)),IFERROR("("&amp;INDEX(LOG_SYM,MATCH($B9&amp;"|"&amp;TEXT(N$5,"yyyymmdd"),KEY_P,0))&amp;")","")))))</f>
        <v/>
      </c>
      <c r="O9" s="21">
        <f>IF(OR($B9="",O$5=""),"",IF(O$7="休業","",IF(INDEX(STAFF_DAYS,MATCH($B9,STAFF_NAMES,0),WEEKDAY(O$5,2))="×","－",IFERROR(INDEX(LOG_SYM,MATCH($B9&amp;"|"&amp;TEXT(O$5,"yyyymmdd"),KEY_A,0)),IFERROR("("&amp;INDEX(LOG_SYM,MATCH($B9&amp;"|"&amp;TEXT(O$5,"yyyymmdd"),KEY_P,0))&amp;")","")))))</f>
        <v/>
      </c>
      <c r="P9" s="21">
        <f>IF(OR($B9="",P$5=""),"",IF(P$7="休業","",IF(INDEX(STAFF_DAYS,MATCH($B9,STAFF_NAMES,0),WEEKDAY(P$5,2))="×","－",IFERROR(INDEX(LOG_SYM,MATCH($B9&amp;"|"&amp;TEXT(P$5,"yyyymmdd"),KEY_A,0)),IFERROR("("&amp;INDEX(LOG_SYM,MATCH($B9&amp;"|"&amp;TEXT(P$5,"yyyymmdd"),KEY_P,0))&amp;")","")))))</f>
        <v/>
      </c>
      <c r="Q9" s="21">
        <f>IF(OR($B9="",Q$5=""),"",IF(Q$7="休業","",IF(INDEX(STAFF_DAYS,MATCH($B9,STAFF_NAMES,0),WEEKDAY(Q$5,2))="×","－",IFERROR(INDEX(LOG_SYM,MATCH($B9&amp;"|"&amp;TEXT(Q$5,"yyyymmdd"),KEY_A,0)),IFERROR("("&amp;INDEX(LOG_SYM,MATCH($B9&amp;"|"&amp;TEXT(Q$5,"yyyymmdd"),KEY_P,0))&amp;")","")))))</f>
        <v/>
      </c>
      <c r="R9" s="21">
        <f>IF(OR($B9="",R$5=""),"",IF(R$7="休業","",IF(INDEX(STAFF_DAYS,MATCH($B9,STAFF_NAMES,0),WEEKDAY(R$5,2))="×","－",IFERROR(INDEX(LOG_SYM,MATCH($B9&amp;"|"&amp;TEXT(R$5,"yyyymmdd"),KEY_A,0)),IFERROR("("&amp;INDEX(LOG_SYM,MATCH($B9&amp;"|"&amp;TEXT(R$5,"yyyymmdd"),KEY_P,0))&amp;")","")))))</f>
        <v/>
      </c>
      <c r="S9" s="21">
        <f>IF(OR($B9="",S$5=""),"",IF(S$7="休業","",IF(INDEX(STAFF_DAYS,MATCH($B9,STAFF_NAMES,0),WEEKDAY(S$5,2))="×","－",IFERROR(INDEX(LOG_SYM,MATCH($B9&amp;"|"&amp;TEXT(S$5,"yyyymmdd"),KEY_A,0)),IFERROR("("&amp;INDEX(LOG_SYM,MATCH($B9&amp;"|"&amp;TEXT(S$5,"yyyymmdd"),KEY_P,0))&amp;")","")))))</f>
        <v/>
      </c>
      <c r="T9" s="21">
        <f>IF(OR($B9="",T$5=""),"",IF(T$7="休業","",IF(INDEX(STAFF_DAYS,MATCH($B9,STAFF_NAMES,0),WEEKDAY(T$5,2))="×","－",IFERROR(INDEX(LOG_SYM,MATCH($B9&amp;"|"&amp;TEXT(T$5,"yyyymmdd"),KEY_A,0)),IFERROR("("&amp;INDEX(LOG_SYM,MATCH($B9&amp;"|"&amp;TEXT(T$5,"yyyymmdd"),KEY_P,0))&amp;")","")))))</f>
        <v/>
      </c>
      <c r="U9" s="21">
        <f>IF(OR($B9="",U$5=""),"",IF(U$7="休業","",IF(INDEX(STAFF_DAYS,MATCH($B9,STAFF_NAMES,0),WEEKDAY(U$5,2))="×","－",IFERROR(INDEX(LOG_SYM,MATCH($B9&amp;"|"&amp;TEXT(U$5,"yyyymmdd"),KEY_A,0)),IFERROR("("&amp;INDEX(LOG_SYM,MATCH($B9&amp;"|"&amp;TEXT(U$5,"yyyymmdd"),KEY_P,0))&amp;")","")))))</f>
        <v/>
      </c>
      <c r="V9" s="21">
        <f>IF(OR($B9="",V$5=""),"",IF(V$7="休業","",IF(INDEX(STAFF_DAYS,MATCH($B9,STAFF_NAMES,0),WEEKDAY(V$5,2))="×","－",IFERROR(INDEX(LOG_SYM,MATCH($B9&amp;"|"&amp;TEXT(V$5,"yyyymmdd"),KEY_A,0)),IFERROR("("&amp;INDEX(LOG_SYM,MATCH($B9&amp;"|"&amp;TEXT(V$5,"yyyymmdd"),KEY_P,0))&amp;")","")))))</f>
        <v/>
      </c>
      <c r="W9" s="21">
        <f>IF(OR($B9="",W$5=""),"",IF(W$7="休業","",IF(INDEX(STAFF_DAYS,MATCH($B9,STAFF_NAMES,0),WEEKDAY(W$5,2))="×","－",IFERROR(INDEX(LOG_SYM,MATCH($B9&amp;"|"&amp;TEXT(W$5,"yyyymmdd"),KEY_A,0)),IFERROR("("&amp;INDEX(LOG_SYM,MATCH($B9&amp;"|"&amp;TEXT(W$5,"yyyymmdd"),KEY_P,0))&amp;")","")))))</f>
        <v/>
      </c>
      <c r="X9" s="21">
        <f>IF(OR($B9="",X$5=""),"",IF(X$7="休業","",IF(INDEX(STAFF_DAYS,MATCH($B9,STAFF_NAMES,0),WEEKDAY(X$5,2))="×","－",IFERROR(INDEX(LOG_SYM,MATCH($B9&amp;"|"&amp;TEXT(X$5,"yyyymmdd"),KEY_A,0)),IFERROR("("&amp;INDEX(LOG_SYM,MATCH($B9&amp;"|"&amp;TEXT(X$5,"yyyymmdd"),KEY_P,0))&amp;")","")))))</f>
        <v/>
      </c>
      <c r="Y9" s="21">
        <f>IF(OR($B9="",Y$5=""),"",IF(Y$7="休業","",IF(INDEX(STAFF_DAYS,MATCH($B9,STAFF_NAMES,0),WEEKDAY(Y$5,2))="×","－",IFERROR(INDEX(LOG_SYM,MATCH($B9&amp;"|"&amp;TEXT(Y$5,"yyyymmdd"),KEY_A,0)),IFERROR("("&amp;INDEX(LOG_SYM,MATCH($B9&amp;"|"&amp;TEXT(Y$5,"yyyymmdd"),KEY_P,0))&amp;")","")))))</f>
        <v/>
      </c>
      <c r="Z9" s="21">
        <f>IF(OR($B9="",Z$5=""),"",IF(Z$7="休業","",IF(INDEX(STAFF_DAYS,MATCH($B9,STAFF_NAMES,0),WEEKDAY(Z$5,2))="×","－",IFERROR(INDEX(LOG_SYM,MATCH($B9&amp;"|"&amp;TEXT(Z$5,"yyyymmdd"),KEY_A,0)),IFERROR("("&amp;INDEX(LOG_SYM,MATCH($B9&amp;"|"&amp;TEXT(Z$5,"yyyymmdd"),KEY_P,0))&amp;")","")))))</f>
        <v/>
      </c>
      <c r="AA9" s="21">
        <f>IF(OR($B9="",AA$5=""),"",IF(AA$7="休業","",IF(INDEX(STAFF_DAYS,MATCH($B9,STAFF_NAMES,0),WEEKDAY(AA$5,2))="×","－",IFERROR(INDEX(LOG_SYM,MATCH($B9&amp;"|"&amp;TEXT(AA$5,"yyyymmdd"),KEY_A,0)),IFERROR("("&amp;INDEX(LOG_SYM,MATCH($B9&amp;"|"&amp;TEXT(AA$5,"yyyymmdd"),KEY_P,0))&amp;")","")))))</f>
        <v/>
      </c>
      <c r="AB9" s="21">
        <f>IF(OR($B9="",AB$5=""),"",IF(AB$7="休業","",IF(INDEX(STAFF_DAYS,MATCH($B9,STAFF_NAMES,0),WEEKDAY(AB$5,2))="×","－",IFERROR(INDEX(LOG_SYM,MATCH($B9&amp;"|"&amp;TEXT(AB$5,"yyyymmdd"),KEY_A,0)),IFERROR("("&amp;INDEX(LOG_SYM,MATCH($B9&amp;"|"&amp;TEXT(AB$5,"yyyymmdd"),KEY_P,0))&amp;")","")))))</f>
        <v/>
      </c>
      <c r="AC9" s="21">
        <f>IF(OR($B9="",AC$5=""),"",IF(AC$7="休業","",IF(INDEX(STAFF_DAYS,MATCH($B9,STAFF_NAMES,0),WEEKDAY(AC$5,2))="×","－",IFERROR(INDEX(LOG_SYM,MATCH($B9&amp;"|"&amp;TEXT(AC$5,"yyyymmdd"),KEY_A,0)),IFERROR("("&amp;INDEX(LOG_SYM,MATCH($B9&amp;"|"&amp;TEXT(AC$5,"yyyymmdd"),KEY_P,0))&amp;")","")))))</f>
        <v/>
      </c>
      <c r="AD9" s="21">
        <f>IF(OR($B9="",AD$5=""),"",IF(AD$7="休業","",IF(INDEX(STAFF_DAYS,MATCH($B9,STAFF_NAMES,0),WEEKDAY(AD$5,2))="×","－",IFERROR(INDEX(LOG_SYM,MATCH($B9&amp;"|"&amp;TEXT(AD$5,"yyyymmdd"),KEY_A,0)),IFERROR("("&amp;INDEX(LOG_SYM,MATCH($B9&amp;"|"&amp;TEXT(AD$5,"yyyymmdd"),KEY_P,0))&amp;")","")))))</f>
        <v/>
      </c>
      <c r="AE9" s="21">
        <f>IF(OR($B9="",AE$5=""),"",IF(AE$7="休業","",IF(INDEX(STAFF_DAYS,MATCH($B9,STAFF_NAMES,0),WEEKDAY(AE$5,2))="×","－",IFERROR(INDEX(LOG_SYM,MATCH($B9&amp;"|"&amp;TEXT(AE$5,"yyyymmdd"),KEY_A,0)),IFERROR("("&amp;INDEX(LOG_SYM,MATCH($B9&amp;"|"&amp;TEXT(AE$5,"yyyymmdd"),KEY_P,0))&amp;")","")))))</f>
        <v/>
      </c>
      <c r="AF9" s="21">
        <f>IF(OR($B9="",AF$5=""),"",IF(AF$7="休業","",IF(INDEX(STAFF_DAYS,MATCH($B9,STAFF_NAMES,0),WEEKDAY(AF$5,2))="×","－",IFERROR(INDEX(LOG_SYM,MATCH($B9&amp;"|"&amp;TEXT(AF$5,"yyyymmdd"),KEY_A,0)),IFERROR("("&amp;INDEX(LOG_SYM,MATCH($B9&amp;"|"&amp;TEXT(AF$5,"yyyymmdd"),KEY_P,0))&amp;")","")))))</f>
        <v/>
      </c>
      <c r="AG9" s="21">
        <f>IF(OR($B9="",AG$5=""),"",IF(AG$7="休業","",IF(INDEX(STAFF_DAYS,MATCH($B9,STAFF_NAMES,0),WEEKDAY(AG$5,2))="×","－",IFERROR(INDEX(LOG_SYM,MATCH($B9&amp;"|"&amp;TEXT(AG$5,"yyyymmdd"),KEY_A,0)),IFERROR("("&amp;INDEX(LOG_SYM,MATCH($B9&amp;"|"&amp;TEXT(AG$5,"yyyymmdd"),KEY_P,0))&amp;")","")))))</f>
        <v/>
      </c>
      <c r="AH9" s="21">
        <f>IF(OR($B9="",AH$5=""),"",IF(AH$7="休業","",IF(INDEX(STAFF_DAYS,MATCH($B9,STAFF_NAMES,0),WEEKDAY(AH$5,2))="×","－",IFERROR(INDEX(LOG_SYM,MATCH($B9&amp;"|"&amp;TEXT(AH$5,"yyyymmdd"),KEY_A,0)),IFERROR("("&amp;INDEX(LOG_SYM,MATCH($B9&amp;"|"&amp;TEXT(AH$5,"yyyymmdd"),KEY_P,0))&amp;")","")))))</f>
        <v/>
      </c>
      <c r="AJ9" s="22">
        <f>IF($B9="","",COUNT(D24:AH24))</f>
        <v/>
      </c>
      <c r="AK9" s="23">
        <f>IF($B9="","",SUM(D24:AH24))</f>
        <v/>
      </c>
      <c r="AL9" s="23">
        <f>IF($B9="","",AJ9-AK9)</f>
        <v/>
      </c>
      <c r="AM9" s="23">
        <f>IF($B9="","",COUNTIF(D9:AH9,"有")+0.5*(COUNTIF(D9:AH9,"午前")+COUNTIF(D9:AH9,"午後")))</f>
        <v/>
      </c>
    </row>
    <row r="10">
      <c r="B10" s="19">
        <f>設定!B7</f>
        <v/>
      </c>
      <c r="C10" s="20">
        <f>設定!C7</f>
        <v/>
      </c>
      <c r="D10" s="21">
        <f>IF(OR($B10="",D$5=""),"",IF(D$7="休業","",IF(INDEX(STAFF_DAYS,MATCH($B10,STAFF_NAMES,0),WEEKDAY(D$5,2))="×","－",IFERROR(INDEX(LOG_SYM,MATCH($B10&amp;"|"&amp;TEXT(D$5,"yyyymmdd"),KEY_A,0)),IFERROR("("&amp;INDEX(LOG_SYM,MATCH($B10&amp;"|"&amp;TEXT(D$5,"yyyymmdd"),KEY_P,0))&amp;")","")))))</f>
        <v/>
      </c>
      <c r="E10" s="21">
        <f>IF(OR($B10="",E$5=""),"",IF(E$7="休業","",IF(INDEX(STAFF_DAYS,MATCH($B10,STAFF_NAMES,0),WEEKDAY(E$5,2))="×","－",IFERROR(INDEX(LOG_SYM,MATCH($B10&amp;"|"&amp;TEXT(E$5,"yyyymmdd"),KEY_A,0)),IFERROR("("&amp;INDEX(LOG_SYM,MATCH($B10&amp;"|"&amp;TEXT(E$5,"yyyymmdd"),KEY_P,0))&amp;")","")))))</f>
        <v/>
      </c>
      <c r="F10" s="21">
        <f>IF(OR($B10="",F$5=""),"",IF(F$7="休業","",IF(INDEX(STAFF_DAYS,MATCH($B10,STAFF_NAMES,0),WEEKDAY(F$5,2))="×","－",IFERROR(INDEX(LOG_SYM,MATCH($B10&amp;"|"&amp;TEXT(F$5,"yyyymmdd"),KEY_A,0)),IFERROR("("&amp;INDEX(LOG_SYM,MATCH($B10&amp;"|"&amp;TEXT(F$5,"yyyymmdd"),KEY_P,0))&amp;")","")))))</f>
        <v/>
      </c>
      <c r="G10" s="21">
        <f>IF(OR($B10="",G$5=""),"",IF(G$7="休業","",IF(INDEX(STAFF_DAYS,MATCH($B10,STAFF_NAMES,0),WEEKDAY(G$5,2))="×","－",IFERROR(INDEX(LOG_SYM,MATCH($B10&amp;"|"&amp;TEXT(G$5,"yyyymmdd"),KEY_A,0)),IFERROR("("&amp;INDEX(LOG_SYM,MATCH($B10&amp;"|"&amp;TEXT(G$5,"yyyymmdd"),KEY_P,0))&amp;")","")))))</f>
        <v/>
      </c>
      <c r="H10" s="21">
        <f>IF(OR($B10="",H$5=""),"",IF(H$7="休業","",IF(INDEX(STAFF_DAYS,MATCH($B10,STAFF_NAMES,0),WEEKDAY(H$5,2))="×","－",IFERROR(INDEX(LOG_SYM,MATCH($B10&amp;"|"&amp;TEXT(H$5,"yyyymmdd"),KEY_A,0)),IFERROR("("&amp;INDEX(LOG_SYM,MATCH($B10&amp;"|"&amp;TEXT(H$5,"yyyymmdd"),KEY_P,0))&amp;")","")))))</f>
        <v/>
      </c>
      <c r="I10" s="21">
        <f>IF(OR($B10="",I$5=""),"",IF(I$7="休業","",IF(INDEX(STAFF_DAYS,MATCH($B10,STAFF_NAMES,0),WEEKDAY(I$5,2))="×","－",IFERROR(INDEX(LOG_SYM,MATCH($B10&amp;"|"&amp;TEXT(I$5,"yyyymmdd"),KEY_A,0)),IFERROR("("&amp;INDEX(LOG_SYM,MATCH($B10&amp;"|"&amp;TEXT(I$5,"yyyymmdd"),KEY_P,0))&amp;")","")))))</f>
        <v/>
      </c>
      <c r="J10" s="21">
        <f>IF(OR($B10="",J$5=""),"",IF(J$7="休業","",IF(INDEX(STAFF_DAYS,MATCH($B10,STAFF_NAMES,0),WEEKDAY(J$5,2))="×","－",IFERROR(INDEX(LOG_SYM,MATCH($B10&amp;"|"&amp;TEXT(J$5,"yyyymmdd"),KEY_A,0)),IFERROR("("&amp;INDEX(LOG_SYM,MATCH($B10&amp;"|"&amp;TEXT(J$5,"yyyymmdd"),KEY_P,0))&amp;")","")))))</f>
        <v/>
      </c>
      <c r="K10" s="21">
        <f>IF(OR($B10="",K$5=""),"",IF(K$7="休業","",IF(INDEX(STAFF_DAYS,MATCH($B10,STAFF_NAMES,0),WEEKDAY(K$5,2))="×","－",IFERROR(INDEX(LOG_SYM,MATCH($B10&amp;"|"&amp;TEXT(K$5,"yyyymmdd"),KEY_A,0)),IFERROR("("&amp;INDEX(LOG_SYM,MATCH($B10&amp;"|"&amp;TEXT(K$5,"yyyymmdd"),KEY_P,0))&amp;")","")))))</f>
        <v/>
      </c>
      <c r="L10" s="21">
        <f>IF(OR($B10="",L$5=""),"",IF(L$7="休業","",IF(INDEX(STAFF_DAYS,MATCH($B10,STAFF_NAMES,0),WEEKDAY(L$5,2))="×","－",IFERROR(INDEX(LOG_SYM,MATCH($B10&amp;"|"&amp;TEXT(L$5,"yyyymmdd"),KEY_A,0)),IFERROR("("&amp;INDEX(LOG_SYM,MATCH($B10&amp;"|"&amp;TEXT(L$5,"yyyymmdd"),KEY_P,0))&amp;")","")))))</f>
        <v/>
      </c>
      <c r="M10" s="21">
        <f>IF(OR($B10="",M$5=""),"",IF(M$7="休業","",IF(INDEX(STAFF_DAYS,MATCH($B10,STAFF_NAMES,0),WEEKDAY(M$5,2))="×","－",IFERROR(INDEX(LOG_SYM,MATCH($B10&amp;"|"&amp;TEXT(M$5,"yyyymmdd"),KEY_A,0)),IFERROR("("&amp;INDEX(LOG_SYM,MATCH($B10&amp;"|"&amp;TEXT(M$5,"yyyymmdd"),KEY_P,0))&amp;")","")))))</f>
        <v/>
      </c>
      <c r="N10" s="21">
        <f>IF(OR($B10="",N$5=""),"",IF(N$7="休業","",IF(INDEX(STAFF_DAYS,MATCH($B10,STAFF_NAMES,0),WEEKDAY(N$5,2))="×","－",IFERROR(INDEX(LOG_SYM,MATCH($B10&amp;"|"&amp;TEXT(N$5,"yyyymmdd"),KEY_A,0)),IFERROR("("&amp;INDEX(LOG_SYM,MATCH($B10&amp;"|"&amp;TEXT(N$5,"yyyymmdd"),KEY_P,0))&amp;")","")))))</f>
        <v/>
      </c>
      <c r="O10" s="21">
        <f>IF(OR($B10="",O$5=""),"",IF(O$7="休業","",IF(INDEX(STAFF_DAYS,MATCH($B10,STAFF_NAMES,0),WEEKDAY(O$5,2))="×","－",IFERROR(INDEX(LOG_SYM,MATCH($B10&amp;"|"&amp;TEXT(O$5,"yyyymmdd"),KEY_A,0)),IFERROR("("&amp;INDEX(LOG_SYM,MATCH($B10&amp;"|"&amp;TEXT(O$5,"yyyymmdd"),KEY_P,0))&amp;")","")))))</f>
        <v/>
      </c>
      <c r="P10" s="21">
        <f>IF(OR($B10="",P$5=""),"",IF(P$7="休業","",IF(INDEX(STAFF_DAYS,MATCH($B10,STAFF_NAMES,0),WEEKDAY(P$5,2))="×","－",IFERROR(INDEX(LOG_SYM,MATCH($B10&amp;"|"&amp;TEXT(P$5,"yyyymmdd"),KEY_A,0)),IFERROR("("&amp;INDEX(LOG_SYM,MATCH($B10&amp;"|"&amp;TEXT(P$5,"yyyymmdd"),KEY_P,0))&amp;")","")))))</f>
        <v/>
      </c>
      <c r="Q10" s="21">
        <f>IF(OR($B10="",Q$5=""),"",IF(Q$7="休業","",IF(INDEX(STAFF_DAYS,MATCH($B10,STAFF_NAMES,0),WEEKDAY(Q$5,2))="×","－",IFERROR(INDEX(LOG_SYM,MATCH($B10&amp;"|"&amp;TEXT(Q$5,"yyyymmdd"),KEY_A,0)),IFERROR("("&amp;INDEX(LOG_SYM,MATCH($B10&amp;"|"&amp;TEXT(Q$5,"yyyymmdd"),KEY_P,0))&amp;")","")))))</f>
        <v/>
      </c>
      <c r="R10" s="21">
        <f>IF(OR($B10="",R$5=""),"",IF(R$7="休業","",IF(INDEX(STAFF_DAYS,MATCH($B10,STAFF_NAMES,0),WEEKDAY(R$5,2))="×","－",IFERROR(INDEX(LOG_SYM,MATCH($B10&amp;"|"&amp;TEXT(R$5,"yyyymmdd"),KEY_A,0)),IFERROR("("&amp;INDEX(LOG_SYM,MATCH($B10&amp;"|"&amp;TEXT(R$5,"yyyymmdd"),KEY_P,0))&amp;")","")))))</f>
        <v/>
      </c>
      <c r="S10" s="21">
        <f>IF(OR($B10="",S$5=""),"",IF(S$7="休業","",IF(INDEX(STAFF_DAYS,MATCH($B10,STAFF_NAMES,0),WEEKDAY(S$5,2))="×","－",IFERROR(INDEX(LOG_SYM,MATCH($B10&amp;"|"&amp;TEXT(S$5,"yyyymmdd"),KEY_A,0)),IFERROR("("&amp;INDEX(LOG_SYM,MATCH($B10&amp;"|"&amp;TEXT(S$5,"yyyymmdd"),KEY_P,0))&amp;")","")))))</f>
        <v/>
      </c>
      <c r="T10" s="21">
        <f>IF(OR($B10="",T$5=""),"",IF(T$7="休業","",IF(INDEX(STAFF_DAYS,MATCH($B10,STAFF_NAMES,0),WEEKDAY(T$5,2))="×","－",IFERROR(INDEX(LOG_SYM,MATCH($B10&amp;"|"&amp;TEXT(T$5,"yyyymmdd"),KEY_A,0)),IFERROR("("&amp;INDEX(LOG_SYM,MATCH($B10&amp;"|"&amp;TEXT(T$5,"yyyymmdd"),KEY_P,0))&amp;")","")))))</f>
        <v/>
      </c>
      <c r="U10" s="21">
        <f>IF(OR($B10="",U$5=""),"",IF(U$7="休業","",IF(INDEX(STAFF_DAYS,MATCH($B10,STAFF_NAMES,0),WEEKDAY(U$5,2))="×","－",IFERROR(INDEX(LOG_SYM,MATCH($B10&amp;"|"&amp;TEXT(U$5,"yyyymmdd"),KEY_A,0)),IFERROR("("&amp;INDEX(LOG_SYM,MATCH($B10&amp;"|"&amp;TEXT(U$5,"yyyymmdd"),KEY_P,0))&amp;")","")))))</f>
        <v/>
      </c>
      <c r="V10" s="21">
        <f>IF(OR($B10="",V$5=""),"",IF(V$7="休業","",IF(INDEX(STAFF_DAYS,MATCH($B10,STAFF_NAMES,0),WEEKDAY(V$5,2))="×","－",IFERROR(INDEX(LOG_SYM,MATCH($B10&amp;"|"&amp;TEXT(V$5,"yyyymmdd"),KEY_A,0)),IFERROR("("&amp;INDEX(LOG_SYM,MATCH($B10&amp;"|"&amp;TEXT(V$5,"yyyymmdd"),KEY_P,0))&amp;")","")))))</f>
        <v/>
      </c>
      <c r="W10" s="21">
        <f>IF(OR($B10="",W$5=""),"",IF(W$7="休業","",IF(INDEX(STAFF_DAYS,MATCH($B10,STAFF_NAMES,0),WEEKDAY(W$5,2))="×","－",IFERROR(INDEX(LOG_SYM,MATCH($B10&amp;"|"&amp;TEXT(W$5,"yyyymmdd"),KEY_A,0)),IFERROR("("&amp;INDEX(LOG_SYM,MATCH($B10&amp;"|"&amp;TEXT(W$5,"yyyymmdd"),KEY_P,0))&amp;")","")))))</f>
        <v/>
      </c>
      <c r="X10" s="21">
        <f>IF(OR($B10="",X$5=""),"",IF(X$7="休業","",IF(INDEX(STAFF_DAYS,MATCH($B10,STAFF_NAMES,0),WEEKDAY(X$5,2))="×","－",IFERROR(INDEX(LOG_SYM,MATCH($B10&amp;"|"&amp;TEXT(X$5,"yyyymmdd"),KEY_A,0)),IFERROR("("&amp;INDEX(LOG_SYM,MATCH($B10&amp;"|"&amp;TEXT(X$5,"yyyymmdd"),KEY_P,0))&amp;")","")))))</f>
        <v/>
      </c>
      <c r="Y10" s="21">
        <f>IF(OR($B10="",Y$5=""),"",IF(Y$7="休業","",IF(INDEX(STAFF_DAYS,MATCH($B10,STAFF_NAMES,0),WEEKDAY(Y$5,2))="×","－",IFERROR(INDEX(LOG_SYM,MATCH($B10&amp;"|"&amp;TEXT(Y$5,"yyyymmdd"),KEY_A,0)),IFERROR("("&amp;INDEX(LOG_SYM,MATCH($B10&amp;"|"&amp;TEXT(Y$5,"yyyymmdd"),KEY_P,0))&amp;")","")))))</f>
        <v/>
      </c>
      <c r="Z10" s="21">
        <f>IF(OR($B10="",Z$5=""),"",IF(Z$7="休業","",IF(INDEX(STAFF_DAYS,MATCH($B10,STAFF_NAMES,0),WEEKDAY(Z$5,2))="×","－",IFERROR(INDEX(LOG_SYM,MATCH($B10&amp;"|"&amp;TEXT(Z$5,"yyyymmdd"),KEY_A,0)),IFERROR("("&amp;INDEX(LOG_SYM,MATCH($B10&amp;"|"&amp;TEXT(Z$5,"yyyymmdd"),KEY_P,0))&amp;")","")))))</f>
        <v/>
      </c>
      <c r="AA10" s="21">
        <f>IF(OR($B10="",AA$5=""),"",IF(AA$7="休業","",IF(INDEX(STAFF_DAYS,MATCH($B10,STAFF_NAMES,0),WEEKDAY(AA$5,2))="×","－",IFERROR(INDEX(LOG_SYM,MATCH($B10&amp;"|"&amp;TEXT(AA$5,"yyyymmdd"),KEY_A,0)),IFERROR("("&amp;INDEX(LOG_SYM,MATCH($B10&amp;"|"&amp;TEXT(AA$5,"yyyymmdd"),KEY_P,0))&amp;")","")))))</f>
        <v/>
      </c>
      <c r="AB10" s="21">
        <f>IF(OR($B10="",AB$5=""),"",IF(AB$7="休業","",IF(INDEX(STAFF_DAYS,MATCH($B10,STAFF_NAMES,0),WEEKDAY(AB$5,2))="×","－",IFERROR(INDEX(LOG_SYM,MATCH($B10&amp;"|"&amp;TEXT(AB$5,"yyyymmdd"),KEY_A,0)),IFERROR("("&amp;INDEX(LOG_SYM,MATCH($B10&amp;"|"&amp;TEXT(AB$5,"yyyymmdd"),KEY_P,0))&amp;")","")))))</f>
        <v/>
      </c>
      <c r="AC10" s="21">
        <f>IF(OR($B10="",AC$5=""),"",IF(AC$7="休業","",IF(INDEX(STAFF_DAYS,MATCH($B10,STAFF_NAMES,0),WEEKDAY(AC$5,2))="×","－",IFERROR(INDEX(LOG_SYM,MATCH($B10&amp;"|"&amp;TEXT(AC$5,"yyyymmdd"),KEY_A,0)),IFERROR("("&amp;INDEX(LOG_SYM,MATCH($B10&amp;"|"&amp;TEXT(AC$5,"yyyymmdd"),KEY_P,0))&amp;")","")))))</f>
        <v/>
      </c>
      <c r="AD10" s="21">
        <f>IF(OR($B10="",AD$5=""),"",IF(AD$7="休業","",IF(INDEX(STAFF_DAYS,MATCH($B10,STAFF_NAMES,0),WEEKDAY(AD$5,2))="×","－",IFERROR(INDEX(LOG_SYM,MATCH($B10&amp;"|"&amp;TEXT(AD$5,"yyyymmdd"),KEY_A,0)),IFERROR("("&amp;INDEX(LOG_SYM,MATCH($B10&amp;"|"&amp;TEXT(AD$5,"yyyymmdd"),KEY_P,0))&amp;")","")))))</f>
        <v/>
      </c>
      <c r="AE10" s="21">
        <f>IF(OR($B10="",AE$5=""),"",IF(AE$7="休業","",IF(INDEX(STAFF_DAYS,MATCH($B10,STAFF_NAMES,0),WEEKDAY(AE$5,2))="×","－",IFERROR(INDEX(LOG_SYM,MATCH($B10&amp;"|"&amp;TEXT(AE$5,"yyyymmdd"),KEY_A,0)),IFERROR("("&amp;INDEX(LOG_SYM,MATCH($B10&amp;"|"&amp;TEXT(AE$5,"yyyymmdd"),KEY_P,0))&amp;")","")))))</f>
        <v/>
      </c>
      <c r="AF10" s="21">
        <f>IF(OR($B10="",AF$5=""),"",IF(AF$7="休業","",IF(INDEX(STAFF_DAYS,MATCH($B10,STAFF_NAMES,0),WEEKDAY(AF$5,2))="×","－",IFERROR(INDEX(LOG_SYM,MATCH($B10&amp;"|"&amp;TEXT(AF$5,"yyyymmdd"),KEY_A,0)),IFERROR("("&amp;INDEX(LOG_SYM,MATCH($B10&amp;"|"&amp;TEXT(AF$5,"yyyymmdd"),KEY_P,0))&amp;")","")))))</f>
        <v/>
      </c>
      <c r="AG10" s="21">
        <f>IF(OR($B10="",AG$5=""),"",IF(AG$7="休業","",IF(INDEX(STAFF_DAYS,MATCH($B10,STAFF_NAMES,0),WEEKDAY(AG$5,2))="×","－",IFERROR(INDEX(LOG_SYM,MATCH($B10&amp;"|"&amp;TEXT(AG$5,"yyyymmdd"),KEY_A,0)),IFERROR("("&amp;INDEX(LOG_SYM,MATCH($B10&amp;"|"&amp;TEXT(AG$5,"yyyymmdd"),KEY_P,0))&amp;")","")))))</f>
        <v/>
      </c>
      <c r="AH10" s="21">
        <f>IF(OR($B10="",AH$5=""),"",IF(AH$7="休業","",IF(INDEX(STAFF_DAYS,MATCH($B10,STAFF_NAMES,0),WEEKDAY(AH$5,2))="×","－",IFERROR(INDEX(LOG_SYM,MATCH($B10&amp;"|"&amp;TEXT(AH$5,"yyyymmdd"),KEY_A,0)),IFERROR("("&amp;INDEX(LOG_SYM,MATCH($B10&amp;"|"&amp;TEXT(AH$5,"yyyymmdd"),KEY_P,0))&amp;")","")))))</f>
        <v/>
      </c>
      <c r="AJ10" s="22">
        <f>IF($B10="","",COUNT(D25:AH25))</f>
        <v/>
      </c>
      <c r="AK10" s="23">
        <f>IF($B10="","",SUM(D25:AH25))</f>
        <v/>
      </c>
      <c r="AL10" s="23">
        <f>IF($B10="","",AJ10-AK10)</f>
        <v/>
      </c>
      <c r="AM10" s="23">
        <f>IF($B10="","",COUNTIF(D10:AH10,"有")+0.5*(COUNTIF(D10:AH10,"午前")+COUNTIF(D10:AH10,"午後")))</f>
        <v/>
      </c>
    </row>
    <row r="11">
      <c r="B11" s="19">
        <f>設定!B8</f>
        <v/>
      </c>
      <c r="C11" s="20">
        <f>設定!C8</f>
        <v/>
      </c>
      <c r="D11" s="21">
        <f>IF(OR($B11="",D$5=""),"",IF(D$7="休業","",IF(INDEX(STAFF_DAYS,MATCH($B11,STAFF_NAMES,0),WEEKDAY(D$5,2))="×","－",IFERROR(INDEX(LOG_SYM,MATCH($B11&amp;"|"&amp;TEXT(D$5,"yyyymmdd"),KEY_A,0)),IFERROR("("&amp;INDEX(LOG_SYM,MATCH($B11&amp;"|"&amp;TEXT(D$5,"yyyymmdd"),KEY_P,0))&amp;")","")))))</f>
        <v/>
      </c>
      <c r="E11" s="21">
        <f>IF(OR($B11="",E$5=""),"",IF(E$7="休業","",IF(INDEX(STAFF_DAYS,MATCH($B11,STAFF_NAMES,0),WEEKDAY(E$5,2))="×","－",IFERROR(INDEX(LOG_SYM,MATCH($B11&amp;"|"&amp;TEXT(E$5,"yyyymmdd"),KEY_A,0)),IFERROR("("&amp;INDEX(LOG_SYM,MATCH($B11&amp;"|"&amp;TEXT(E$5,"yyyymmdd"),KEY_P,0))&amp;")","")))))</f>
        <v/>
      </c>
      <c r="F11" s="21">
        <f>IF(OR($B11="",F$5=""),"",IF(F$7="休業","",IF(INDEX(STAFF_DAYS,MATCH($B11,STAFF_NAMES,0),WEEKDAY(F$5,2))="×","－",IFERROR(INDEX(LOG_SYM,MATCH($B11&amp;"|"&amp;TEXT(F$5,"yyyymmdd"),KEY_A,0)),IFERROR("("&amp;INDEX(LOG_SYM,MATCH($B11&amp;"|"&amp;TEXT(F$5,"yyyymmdd"),KEY_P,0))&amp;")","")))))</f>
        <v/>
      </c>
      <c r="G11" s="21">
        <f>IF(OR($B11="",G$5=""),"",IF(G$7="休業","",IF(INDEX(STAFF_DAYS,MATCH($B11,STAFF_NAMES,0),WEEKDAY(G$5,2))="×","－",IFERROR(INDEX(LOG_SYM,MATCH($B11&amp;"|"&amp;TEXT(G$5,"yyyymmdd"),KEY_A,0)),IFERROR("("&amp;INDEX(LOG_SYM,MATCH($B11&amp;"|"&amp;TEXT(G$5,"yyyymmdd"),KEY_P,0))&amp;")","")))))</f>
        <v/>
      </c>
      <c r="H11" s="21">
        <f>IF(OR($B11="",H$5=""),"",IF(H$7="休業","",IF(INDEX(STAFF_DAYS,MATCH($B11,STAFF_NAMES,0),WEEKDAY(H$5,2))="×","－",IFERROR(INDEX(LOG_SYM,MATCH($B11&amp;"|"&amp;TEXT(H$5,"yyyymmdd"),KEY_A,0)),IFERROR("("&amp;INDEX(LOG_SYM,MATCH($B11&amp;"|"&amp;TEXT(H$5,"yyyymmdd"),KEY_P,0))&amp;")","")))))</f>
        <v/>
      </c>
      <c r="I11" s="21">
        <f>IF(OR($B11="",I$5=""),"",IF(I$7="休業","",IF(INDEX(STAFF_DAYS,MATCH($B11,STAFF_NAMES,0),WEEKDAY(I$5,2))="×","－",IFERROR(INDEX(LOG_SYM,MATCH($B11&amp;"|"&amp;TEXT(I$5,"yyyymmdd"),KEY_A,0)),IFERROR("("&amp;INDEX(LOG_SYM,MATCH($B11&amp;"|"&amp;TEXT(I$5,"yyyymmdd"),KEY_P,0))&amp;")","")))))</f>
        <v/>
      </c>
      <c r="J11" s="21">
        <f>IF(OR($B11="",J$5=""),"",IF(J$7="休業","",IF(INDEX(STAFF_DAYS,MATCH($B11,STAFF_NAMES,0),WEEKDAY(J$5,2))="×","－",IFERROR(INDEX(LOG_SYM,MATCH($B11&amp;"|"&amp;TEXT(J$5,"yyyymmdd"),KEY_A,0)),IFERROR("("&amp;INDEX(LOG_SYM,MATCH($B11&amp;"|"&amp;TEXT(J$5,"yyyymmdd"),KEY_P,0))&amp;")","")))))</f>
        <v/>
      </c>
      <c r="K11" s="21">
        <f>IF(OR($B11="",K$5=""),"",IF(K$7="休業","",IF(INDEX(STAFF_DAYS,MATCH($B11,STAFF_NAMES,0),WEEKDAY(K$5,2))="×","－",IFERROR(INDEX(LOG_SYM,MATCH($B11&amp;"|"&amp;TEXT(K$5,"yyyymmdd"),KEY_A,0)),IFERROR("("&amp;INDEX(LOG_SYM,MATCH($B11&amp;"|"&amp;TEXT(K$5,"yyyymmdd"),KEY_P,0))&amp;")","")))))</f>
        <v/>
      </c>
      <c r="L11" s="21">
        <f>IF(OR($B11="",L$5=""),"",IF(L$7="休業","",IF(INDEX(STAFF_DAYS,MATCH($B11,STAFF_NAMES,0),WEEKDAY(L$5,2))="×","－",IFERROR(INDEX(LOG_SYM,MATCH($B11&amp;"|"&amp;TEXT(L$5,"yyyymmdd"),KEY_A,0)),IFERROR("("&amp;INDEX(LOG_SYM,MATCH($B11&amp;"|"&amp;TEXT(L$5,"yyyymmdd"),KEY_P,0))&amp;")","")))))</f>
        <v/>
      </c>
      <c r="M11" s="21">
        <f>IF(OR($B11="",M$5=""),"",IF(M$7="休業","",IF(INDEX(STAFF_DAYS,MATCH($B11,STAFF_NAMES,0),WEEKDAY(M$5,2))="×","－",IFERROR(INDEX(LOG_SYM,MATCH($B11&amp;"|"&amp;TEXT(M$5,"yyyymmdd"),KEY_A,0)),IFERROR("("&amp;INDEX(LOG_SYM,MATCH($B11&amp;"|"&amp;TEXT(M$5,"yyyymmdd"),KEY_P,0))&amp;")","")))))</f>
        <v/>
      </c>
      <c r="N11" s="21">
        <f>IF(OR($B11="",N$5=""),"",IF(N$7="休業","",IF(INDEX(STAFF_DAYS,MATCH($B11,STAFF_NAMES,0),WEEKDAY(N$5,2))="×","－",IFERROR(INDEX(LOG_SYM,MATCH($B11&amp;"|"&amp;TEXT(N$5,"yyyymmdd"),KEY_A,0)),IFERROR("("&amp;INDEX(LOG_SYM,MATCH($B11&amp;"|"&amp;TEXT(N$5,"yyyymmdd"),KEY_P,0))&amp;")","")))))</f>
        <v/>
      </c>
      <c r="O11" s="21">
        <f>IF(OR($B11="",O$5=""),"",IF(O$7="休業","",IF(INDEX(STAFF_DAYS,MATCH($B11,STAFF_NAMES,0),WEEKDAY(O$5,2))="×","－",IFERROR(INDEX(LOG_SYM,MATCH($B11&amp;"|"&amp;TEXT(O$5,"yyyymmdd"),KEY_A,0)),IFERROR("("&amp;INDEX(LOG_SYM,MATCH($B11&amp;"|"&amp;TEXT(O$5,"yyyymmdd"),KEY_P,0))&amp;")","")))))</f>
        <v/>
      </c>
      <c r="P11" s="21">
        <f>IF(OR($B11="",P$5=""),"",IF(P$7="休業","",IF(INDEX(STAFF_DAYS,MATCH($B11,STAFF_NAMES,0),WEEKDAY(P$5,2))="×","－",IFERROR(INDEX(LOG_SYM,MATCH($B11&amp;"|"&amp;TEXT(P$5,"yyyymmdd"),KEY_A,0)),IFERROR("("&amp;INDEX(LOG_SYM,MATCH($B11&amp;"|"&amp;TEXT(P$5,"yyyymmdd"),KEY_P,0))&amp;")","")))))</f>
        <v/>
      </c>
      <c r="Q11" s="21">
        <f>IF(OR($B11="",Q$5=""),"",IF(Q$7="休業","",IF(INDEX(STAFF_DAYS,MATCH($B11,STAFF_NAMES,0),WEEKDAY(Q$5,2))="×","－",IFERROR(INDEX(LOG_SYM,MATCH($B11&amp;"|"&amp;TEXT(Q$5,"yyyymmdd"),KEY_A,0)),IFERROR("("&amp;INDEX(LOG_SYM,MATCH($B11&amp;"|"&amp;TEXT(Q$5,"yyyymmdd"),KEY_P,0))&amp;")","")))))</f>
        <v/>
      </c>
      <c r="R11" s="21">
        <f>IF(OR($B11="",R$5=""),"",IF(R$7="休業","",IF(INDEX(STAFF_DAYS,MATCH($B11,STAFF_NAMES,0),WEEKDAY(R$5,2))="×","－",IFERROR(INDEX(LOG_SYM,MATCH($B11&amp;"|"&amp;TEXT(R$5,"yyyymmdd"),KEY_A,0)),IFERROR("("&amp;INDEX(LOG_SYM,MATCH($B11&amp;"|"&amp;TEXT(R$5,"yyyymmdd"),KEY_P,0))&amp;")","")))))</f>
        <v/>
      </c>
      <c r="S11" s="21">
        <f>IF(OR($B11="",S$5=""),"",IF(S$7="休業","",IF(INDEX(STAFF_DAYS,MATCH($B11,STAFF_NAMES,0),WEEKDAY(S$5,2))="×","－",IFERROR(INDEX(LOG_SYM,MATCH($B11&amp;"|"&amp;TEXT(S$5,"yyyymmdd"),KEY_A,0)),IFERROR("("&amp;INDEX(LOG_SYM,MATCH($B11&amp;"|"&amp;TEXT(S$5,"yyyymmdd"),KEY_P,0))&amp;")","")))))</f>
        <v/>
      </c>
      <c r="T11" s="21">
        <f>IF(OR($B11="",T$5=""),"",IF(T$7="休業","",IF(INDEX(STAFF_DAYS,MATCH($B11,STAFF_NAMES,0),WEEKDAY(T$5,2))="×","－",IFERROR(INDEX(LOG_SYM,MATCH($B11&amp;"|"&amp;TEXT(T$5,"yyyymmdd"),KEY_A,0)),IFERROR("("&amp;INDEX(LOG_SYM,MATCH($B11&amp;"|"&amp;TEXT(T$5,"yyyymmdd"),KEY_P,0))&amp;")","")))))</f>
        <v/>
      </c>
      <c r="U11" s="21">
        <f>IF(OR($B11="",U$5=""),"",IF(U$7="休業","",IF(INDEX(STAFF_DAYS,MATCH($B11,STAFF_NAMES,0),WEEKDAY(U$5,2))="×","－",IFERROR(INDEX(LOG_SYM,MATCH($B11&amp;"|"&amp;TEXT(U$5,"yyyymmdd"),KEY_A,0)),IFERROR("("&amp;INDEX(LOG_SYM,MATCH($B11&amp;"|"&amp;TEXT(U$5,"yyyymmdd"),KEY_P,0))&amp;")","")))))</f>
        <v/>
      </c>
      <c r="V11" s="21">
        <f>IF(OR($B11="",V$5=""),"",IF(V$7="休業","",IF(INDEX(STAFF_DAYS,MATCH($B11,STAFF_NAMES,0),WEEKDAY(V$5,2))="×","－",IFERROR(INDEX(LOG_SYM,MATCH($B11&amp;"|"&amp;TEXT(V$5,"yyyymmdd"),KEY_A,0)),IFERROR("("&amp;INDEX(LOG_SYM,MATCH($B11&amp;"|"&amp;TEXT(V$5,"yyyymmdd"),KEY_P,0))&amp;")","")))))</f>
        <v/>
      </c>
      <c r="W11" s="21">
        <f>IF(OR($B11="",W$5=""),"",IF(W$7="休業","",IF(INDEX(STAFF_DAYS,MATCH($B11,STAFF_NAMES,0),WEEKDAY(W$5,2))="×","－",IFERROR(INDEX(LOG_SYM,MATCH($B11&amp;"|"&amp;TEXT(W$5,"yyyymmdd"),KEY_A,0)),IFERROR("("&amp;INDEX(LOG_SYM,MATCH($B11&amp;"|"&amp;TEXT(W$5,"yyyymmdd"),KEY_P,0))&amp;")","")))))</f>
        <v/>
      </c>
      <c r="X11" s="21">
        <f>IF(OR($B11="",X$5=""),"",IF(X$7="休業","",IF(INDEX(STAFF_DAYS,MATCH($B11,STAFF_NAMES,0),WEEKDAY(X$5,2))="×","－",IFERROR(INDEX(LOG_SYM,MATCH($B11&amp;"|"&amp;TEXT(X$5,"yyyymmdd"),KEY_A,0)),IFERROR("("&amp;INDEX(LOG_SYM,MATCH($B11&amp;"|"&amp;TEXT(X$5,"yyyymmdd"),KEY_P,0))&amp;")","")))))</f>
        <v/>
      </c>
      <c r="Y11" s="21">
        <f>IF(OR($B11="",Y$5=""),"",IF(Y$7="休業","",IF(INDEX(STAFF_DAYS,MATCH($B11,STAFF_NAMES,0),WEEKDAY(Y$5,2))="×","－",IFERROR(INDEX(LOG_SYM,MATCH($B11&amp;"|"&amp;TEXT(Y$5,"yyyymmdd"),KEY_A,0)),IFERROR("("&amp;INDEX(LOG_SYM,MATCH($B11&amp;"|"&amp;TEXT(Y$5,"yyyymmdd"),KEY_P,0))&amp;")","")))))</f>
        <v/>
      </c>
      <c r="Z11" s="21">
        <f>IF(OR($B11="",Z$5=""),"",IF(Z$7="休業","",IF(INDEX(STAFF_DAYS,MATCH($B11,STAFF_NAMES,0),WEEKDAY(Z$5,2))="×","－",IFERROR(INDEX(LOG_SYM,MATCH($B11&amp;"|"&amp;TEXT(Z$5,"yyyymmdd"),KEY_A,0)),IFERROR("("&amp;INDEX(LOG_SYM,MATCH($B11&amp;"|"&amp;TEXT(Z$5,"yyyymmdd"),KEY_P,0))&amp;")","")))))</f>
        <v/>
      </c>
      <c r="AA11" s="21">
        <f>IF(OR($B11="",AA$5=""),"",IF(AA$7="休業","",IF(INDEX(STAFF_DAYS,MATCH($B11,STAFF_NAMES,0),WEEKDAY(AA$5,2))="×","－",IFERROR(INDEX(LOG_SYM,MATCH($B11&amp;"|"&amp;TEXT(AA$5,"yyyymmdd"),KEY_A,0)),IFERROR("("&amp;INDEX(LOG_SYM,MATCH($B11&amp;"|"&amp;TEXT(AA$5,"yyyymmdd"),KEY_P,0))&amp;")","")))))</f>
        <v/>
      </c>
      <c r="AB11" s="21">
        <f>IF(OR($B11="",AB$5=""),"",IF(AB$7="休業","",IF(INDEX(STAFF_DAYS,MATCH($B11,STAFF_NAMES,0),WEEKDAY(AB$5,2))="×","－",IFERROR(INDEX(LOG_SYM,MATCH($B11&amp;"|"&amp;TEXT(AB$5,"yyyymmdd"),KEY_A,0)),IFERROR("("&amp;INDEX(LOG_SYM,MATCH($B11&amp;"|"&amp;TEXT(AB$5,"yyyymmdd"),KEY_P,0))&amp;")","")))))</f>
        <v/>
      </c>
      <c r="AC11" s="21">
        <f>IF(OR($B11="",AC$5=""),"",IF(AC$7="休業","",IF(INDEX(STAFF_DAYS,MATCH($B11,STAFF_NAMES,0),WEEKDAY(AC$5,2))="×","－",IFERROR(INDEX(LOG_SYM,MATCH($B11&amp;"|"&amp;TEXT(AC$5,"yyyymmdd"),KEY_A,0)),IFERROR("("&amp;INDEX(LOG_SYM,MATCH($B11&amp;"|"&amp;TEXT(AC$5,"yyyymmdd"),KEY_P,0))&amp;")","")))))</f>
        <v/>
      </c>
      <c r="AD11" s="21">
        <f>IF(OR($B11="",AD$5=""),"",IF(AD$7="休業","",IF(INDEX(STAFF_DAYS,MATCH($B11,STAFF_NAMES,0),WEEKDAY(AD$5,2))="×","－",IFERROR(INDEX(LOG_SYM,MATCH($B11&amp;"|"&amp;TEXT(AD$5,"yyyymmdd"),KEY_A,0)),IFERROR("("&amp;INDEX(LOG_SYM,MATCH($B11&amp;"|"&amp;TEXT(AD$5,"yyyymmdd"),KEY_P,0))&amp;")","")))))</f>
        <v/>
      </c>
      <c r="AE11" s="21">
        <f>IF(OR($B11="",AE$5=""),"",IF(AE$7="休業","",IF(INDEX(STAFF_DAYS,MATCH($B11,STAFF_NAMES,0),WEEKDAY(AE$5,2))="×","－",IFERROR(INDEX(LOG_SYM,MATCH($B11&amp;"|"&amp;TEXT(AE$5,"yyyymmdd"),KEY_A,0)),IFERROR("("&amp;INDEX(LOG_SYM,MATCH($B11&amp;"|"&amp;TEXT(AE$5,"yyyymmdd"),KEY_P,0))&amp;")","")))))</f>
        <v/>
      </c>
      <c r="AF11" s="21">
        <f>IF(OR($B11="",AF$5=""),"",IF(AF$7="休業","",IF(INDEX(STAFF_DAYS,MATCH($B11,STAFF_NAMES,0),WEEKDAY(AF$5,2))="×","－",IFERROR(INDEX(LOG_SYM,MATCH($B11&amp;"|"&amp;TEXT(AF$5,"yyyymmdd"),KEY_A,0)),IFERROR("("&amp;INDEX(LOG_SYM,MATCH($B11&amp;"|"&amp;TEXT(AF$5,"yyyymmdd"),KEY_P,0))&amp;")","")))))</f>
        <v/>
      </c>
      <c r="AG11" s="21">
        <f>IF(OR($B11="",AG$5=""),"",IF(AG$7="休業","",IF(INDEX(STAFF_DAYS,MATCH($B11,STAFF_NAMES,0),WEEKDAY(AG$5,2))="×","－",IFERROR(INDEX(LOG_SYM,MATCH($B11&amp;"|"&amp;TEXT(AG$5,"yyyymmdd"),KEY_A,0)),IFERROR("("&amp;INDEX(LOG_SYM,MATCH($B11&amp;"|"&amp;TEXT(AG$5,"yyyymmdd"),KEY_P,0))&amp;")","")))))</f>
        <v/>
      </c>
      <c r="AH11" s="21">
        <f>IF(OR($B11="",AH$5=""),"",IF(AH$7="休業","",IF(INDEX(STAFF_DAYS,MATCH($B11,STAFF_NAMES,0),WEEKDAY(AH$5,2))="×","－",IFERROR(INDEX(LOG_SYM,MATCH($B11&amp;"|"&amp;TEXT(AH$5,"yyyymmdd"),KEY_A,0)),IFERROR("("&amp;INDEX(LOG_SYM,MATCH($B11&amp;"|"&amp;TEXT(AH$5,"yyyymmdd"),KEY_P,0))&amp;")","")))))</f>
        <v/>
      </c>
      <c r="AJ11" s="22">
        <f>IF($B11="","",COUNT(D26:AH26))</f>
        <v/>
      </c>
      <c r="AK11" s="23">
        <f>IF($B11="","",SUM(D26:AH26))</f>
        <v/>
      </c>
      <c r="AL11" s="23">
        <f>IF($B11="","",AJ11-AK11)</f>
        <v/>
      </c>
      <c r="AM11" s="23">
        <f>IF($B11="","",COUNTIF(D11:AH11,"有")+0.5*(COUNTIF(D11:AH11,"午前")+COUNTIF(D11:AH11,"午後")))</f>
        <v/>
      </c>
    </row>
    <row r="12">
      <c r="B12" s="19">
        <f>設定!B9</f>
        <v/>
      </c>
      <c r="C12" s="20">
        <f>設定!C9</f>
        <v/>
      </c>
      <c r="D12" s="21">
        <f>IF(OR($B12="",D$5=""),"",IF(D$7="休業","",IF(INDEX(STAFF_DAYS,MATCH($B12,STAFF_NAMES,0),WEEKDAY(D$5,2))="×","－",IFERROR(INDEX(LOG_SYM,MATCH($B12&amp;"|"&amp;TEXT(D$5,"yyyymmdd"),KEY_A,0)),IFERROR("("&amp;INDEX(LOG_SYM,MATCH($B12&amp;"|"&amp;TEXT(D$5,"yyyymmdd"),KEY_P,0))&amp;")","")))))</f>
        <v/>
      </c>
      <c r="E12" s="21">
        <f>IF(OR($B12="",E$5=""),"",IF(E$7="休業","",IF(INDEX(STAFF_DAYS,MATCH($B12,STAFF_NAMES,0),WEEKDAY(E$5,2))="×","－",IFERROR(INDEX(LOG_SYM,MATCH($B12&amp;"|"&amp;TEXT(E$5,"yyyymmdd"),KEY_A,0)),IFERROR("("&amp;INDEX(LOG_SYM,MATCH($B12&amp;"|"&amp;TEXT(E$5,"yyyymmdd"),KEY_P,0))&amp;")","")))))</f>
        <v/>
      </c>
      <c r="F12" s="21">
        <f>IF(OR($B12="",F$5=""),"",IF(F$7="休業","",IF(INDEX(STAFF_DAYS,MATCH($B12,STAFF_NAMES,0),WEEKDAY(F$5,2))="×","－",IFERROR(INDEX(LOG_SYM,MATCH($B12&amp;"|"&amp;TEXT(F$5,"yyyymmdd"),KEY_A,0)),IFERROR("("&amp;INDEX(LOG_SYM,MATCH($B12&amp;"|"&amp;TEXT(F$5,"yyyymmdd"),KEY_P,0))&amp;")","")))))</f>
        <v/>
      </c>
      <c r="G12" s="21">
        <f>IF(OR($B12="",G$5=""),"",IF(G$7="休業","",IF(INDEX(STAFF_DAYS,MATCH($B12,STAFF_NAMES,0),WEEKDAY(G$5,2))="×","－",IFERROR(INDEX(LOG_SYM,MATCH($B12&amp;"|"&amp;TEXT(G$5,"yyyymmdd"),KEY_A,0)),IFERROR("("&amp;INDEX(LOG_SYM,MATCH($B12&amp;"|"&amp;TEXT(G$5,"yyyymmdd"),KEY_P,0))&amp;")","")))))</f>
        <v/>
      </c>
      <c r="H12" s="21">
        <f>IF(OR($B12="",H$5=""),"",IF(H$7="休業","",IF(INDEX(STAFF_DAYS,MATCH($B12,STAFF_NAMES,0),WEEKDAY(H$5,2))="×","－",IFERROR(INDEX(LOG_SYM,MATCH($B12&amp;"|"&amp;TEXT(H$5,"yyyymmdd"),KEY_A,0)),IFERROR("("&amp;INDEX(LOG_SYM,MATCH($B12&amp;"|"&amp;TEXT(H$5,"yyyymmdd"),KEY_P,0))&amp;")","")))))</f>
        <v/>
      </c>
      <c r="I12" s="21">
        <f>IF(OR($B12="",I$5=""),"",IF(I$7="休業","",IF(INDEX(STAFF_DAYS,MATCH($B12,STAFF_NAMES,0),WEEKDAY(I$5,2))="×","－",IFERROR(INDEX(LOG_SYM,MATCH($B12&amp;"|"&amp;TEXT(I$5,"yyyymmdd"),KEY_A,0)),IFERROR("("&amp;INDEX(LOG_SYM,MATCH($B12&amp;"|"&amp;TEXT(I$5,"yyyymmdd"),KEY_P,0))&amp;")","")))))</f>
        <v/>
      </c>
      <c r="J12" s="21">
        <f>IF(OR($B12="",J$5=""),"",IF(J$7="休業","",IF(INDEX(STAFF_DAYS,MATCH($B12,STAFF_NAMES,0),WEEKDAY(J$5,2))="×","－",IFERROR(INDEX(LOG_SYM,MATCH($B12&amp;"|"&amp;TEXT(J$5,"yyyymmdd"),KEY_A,0)),IFERROR("("&amp;INDEX(LOG_SYM,MATCH($B12&amp;"|"&amp;TEXT(J$5,"yyyymmdd"),KEY_P,0))&amp;")","")))))</f>
        <v/>
      </c>
      <c r="K12" s="21">
        <f>IF(OR($B12="",K$5=""),"",IF(K$7="休業","",IF(INDEX(STAFF_DAYS,MATCH($B12,STAFF_NAMES,0),WEEKDAY(K$5,2))="×","－",IFERROR(INDEX(LOG_SYM,MATCH($B12&amp;"|"&amp;TEXT(K$5,"yyyymmdd"),KEY_A,0)),IFERROR("("&amp;INDEX(LOG_SYM,MATCH($B12&amp;"|"&amp;TEXT(K$5,"yyyymmdd"),KEY_P,0))&amp;")","")))))</f>
        <v/>
      </c>
      <c r="L12" s="21">
        <f>IF(OR($B12="",L$5=""),"",IF(L$7="休業","",IF(INDEX(STAFF_DAYS,MATCH($B12,STAFF_NAMES,0),WEEKDAY(L$5,2))="×","－",IFERROR(INDEX(LOG_SYM,MATCH($B12&amp;"|"&amp;TEXT(L$5,"yyyymmdd"),KEY_A,0)),IFERROR("("&amp;INDEX(LOG_SYM,MATCH($B12&amp;"|"&amp;TEXT(L$5,"yyyymmdd"),KEY_P,0))&amp;")","")))))</f>
        <v/>
      </c>
      <c r="M12" s="21">
        <f>IF(OR($B12="",M$5=""),"",IF(M$7="休業","",IF(INDEX(STAFF_DAYS,MATCH($B12,STAFF_NAMES,0),WEEKDAY(M$5,2))="×","－",IFERROR(INDEX(LOG_SYM,MATCH($B12&amp;"|"&amp;TEXT(M$5,"yyyymmdd"),KEY_A,0)),IFERROR("("&amp;INDEX(LOG_SYM,MATCH($B12&amp;"|"&amp;TEXT(M$5,"yyyymmdd"),KEY_P,0))&amp;")","")))))</f>
        <v/>
      </c>
      <c r="N12" s="21">
        <f>IF(OR($B12="",N$5=""),"",IF(N$7="休業","",IF(INDEX(STAFF_DAYS,MATCH($B12,STAFF_NAMES,0),WEEKDAY(N$5,2))="×","－",IFERROR(INDEX(LOG_SYM,MATCH($B12&amp;"|"&amp;TEXT(N$5,"yyyymmdd"),KEY_A,0)),IFERROR("("&amp;INDEX(LOG_SYM,MATCH($B12&amp;"|"&amp;TEXT(N$5,"yyyymmdd"),KEY_P,0))&amp;")","")))))</f>
        <v/>
      </c>
      <c r="O12" s="21">
        <f>IF(OR($B12="",O$5=""),"",IF(O$7="休業","",IF(INDEX(STAFF_DAYS,MATCH($B12,STAFF_NAMES,0),WEEKDAY(O$5,2))="×","－",IFERROR(INDEX(LOG_SYM,MATCH($B12&amp;"|"&amp;TEXT(O$5,"yyyymmdd"),KEY_A,0)),IFERROR("("&amp;INDEX(LOG_SYM,MATCH($B12&amp;"|"&amp;TEXT(O$5,"yyyymmdd"),KEY_P,0))&amp;")","")))))</f>
        <v/>
      </c>
      <c r="P12" s="21">
        <f>IF(OR($B12="",P$5=""),"",IF(P$7="休業","",IF(INDEX(STAFF_DAYS,MATCH($B12,STAFF_NAMES,0),WEEKDAY(P$5,2))="×","－",IFERROR(INDEX(LOG_SYM,MATCH($B12&amp;"|"&amp;TEXT(P$5,"yyyymmdd"),KEY_A,0)),IFERROR("("&amp;INDEX(LOG_SYM,MATCH($B12&amp;"|"&amp;TEXT(P$5,"yyyymmdd"),KEY_P,0))&amp;")","")))))</f>
        <v/>
      </c>
      <c r="Q12" s="21">
        <f>IF(OR($B12="",Q$5=""),"",IF(Q$7="休業","",IF(INDEX(STAFF_DAYS,MATCH($B12,STAFF_NAMES,0),WEEKDAY(Q$5,2))="×","－",IFERROR(INDEX(LOG_SYM,MATCH($B12&amp;"|"&amp;TEXT(Q$5,"yyyymmdd"),KEY_A,0)),IFERROR("("&amp;INDEX(LOG_SYM,MATCH($B12&amp;"|"&amp;TEXT(Q$5,"yyyymmdd"),KEY_P,0))&amp;")","")))))</f>
        <v/>
      </c>
      <c r="R12" s="21">
        <f>IF(OR($B12="",R$5=""),"",IF(R$7="休業","",IF(INDEX(STAFF_DAYS,MATCH($B12,STAFF_NAMES,0),WEEKDAY(R$5,2))="×","－",IFERROR(INDEX(LOG_SYM,MATCH($B12&amp;"|"&amp;TEXT(R$5,"yyyymmdd"),KEY_A,0)),IFERROR("("&amp;INDEX(LOG_SYM,MATCH($B12&amp;"|"&amp;TEXT(R$5,"yyyymmdd"),KEY_P,0))&amp;")","")))))</f>
        <v/>
      </c>
      <c r="S12" s="21">
        <f>IF(OR($B12="",S$5=""),"",IF(S$7="休業","",IF(INDEX(STAFF_DAYS,MATCH($B12,STAFF_NAMES,0),WEEKDAY(S$5,2))="×","－",IFERROR(INDEX(LOG_SYM,MATCH($B12&amp;"|"&amp;TEXT(S$5,"yyyymmdd"),KEY_A,0)),IFERROR("("&amp;INDEX(LOG_SYM,MATCH($B12&amp;"|"&amp;TEXT(S$5,"yyyymmdd"),KEY_P,0))&amp;")","")))))</f>
        <v/>
      </c>
      <c r="T12" s="21">
        <f>IF(OR($B12="",T$5=""),"",IF(T$7="休業","",IF(INDEX(STAFF_DAYS,MATCH($B12,STAFF_NAMES,0),WEEKDAY(T$5,2))="×","－",IFERROR(INDEX(LOG_SYM,MATCH($B12&amp;"|"&amp;TEXT(T$5,"yyyymmdd"),KEY_A,0)),IFERROR("("&amp;INDEX(LOG_SYM,MATCH($B12&amp;"|"&amp;TEXT(T$5,"yyyymmdd"),KEY_P,0))&amp;")","")))))</f>
        <v/>
      </c>
      <c r="U12" s="21">
        <f>IF(OR($B12="",U$5=""),"",IF(U$7="休業","",IF(INDEX(STAFF_DAYS,MATCH($B12,STAFF_NAMES,0),WEEKDAY(U$5,2))="×","－",IFERROR(INDEX(LOG_SYM,MATCH($B12&amp;"|"&amp;TEXT(U$5,"yyyymmdd"),KEY_A,0)),IFERROR("("&amp;INDEX(LOG_SYM,MATCH($B12&amp;"|"&amp;TEXT(U$5,"yyyymmdd"),KEY_P,0))&amp;")","")))))</f>
        <v/>
      </c>
      <c r="V12" s="21">
        <f>IF(OR($B12="",V$5=""),"",IF(V$7="休業","",IF(INDEX(STAFF_DAYS,MATCH($B12,STAFF_NAMES,0),WEEKDAY(V$5,2))="×","－",IFERROR(INDEX(LOG_SYM,MATCH($B12&amp;"|"&amp;TEXT(V$5,"yyyymmdd"),KEY_A,0)),IFERROR("("&amp;INDEX(LOG_SYM,MATCH($B12&amp;"|"&amp;TEXT(V$5,"yyyymmdd"),KEY_P,0))&amp;")","")))))</f>
        <v/>
      </c>
      <c r="W12" s="21">
        <f>IF(OR($B12="",W$5=""),"",IF(W$7="休業","",IF(INDEX(STAFF_DAYS,MATCH($B12,STAFF_NAMES,0),WEEKDAY(W$5,2))="×","－",IFERROR(INDEX(LOG_SYM,MATCH($B12&amp;"|"&amp;TEXT(W$5,"yyyymmdd"),KEY_A,0)),IFERROR("("&amp;INDEX(LOG_SYM,MATCH($B12&amp;"|"&amp;TEXT(W$5,"yyyymmdd"),KEY_P,0))&amp;")","")))))</f>
        <v/>
      </c>
      <c r="X12" s="21">
        <f>IF(OR($B12="",X$5=""),"",IF(X$7="休業","",IF(INDEX(STAFF_DAYS,MATCH($B12,STAFF_NAMES,0),WEEKDAY(X$5,2))="×","－",IFERROR(INDEX(LOG_SYM,MATCH($B12&amp;"|"&amp;TEXT(X$5,"yyyymmdd"),KEY_A,0)),IFERROR("("&amp;INDEX(LOG_SYM,MATCH($B12&amp;"|"&amp;TEXT(X$5,"yyyymmdd"),KEY_P,0))&amp;")","")))))</f>
        <v/>
      </c>
      <c r="Y12" s="21">
        <f>IF(OR($B12="",Y$5=""),"",IF(Y$7="休業","",IF(INDEX(STAFF_DAYS,MATCH($B12,STAFF_NAMES,0),WEEKDAY(Y$5,2))="×","－",IFERROR(INDEX(LOG_SYM,MATCH($B12&amp;"|"&amp;TEXT(Y$5,"yyyymmdd"),KEY_A,0)),IFERROR("("&amp;INDEX(LOG_SYM,MATCH($B12&amp;"|"&amp;TEXT(Y$5,"yyyymmdd"),KEY_P,0))&amp;")","")))))</f>
        <v/>
      </c>
      <c r="Z12" s="21">
        <f>IF(OR($B12="",Z$5=""),"",IF(Z$7="休業","",IF(INDEX(STAFF_DAYS,MATCH($B12,STAFF_NAMES,0),WEEKDAY(Z$5,2))="×","－",IFERROR(INDEX(LOG_SYM,MATCH($B12&amp;"|"&amp;TEXT(Z$5,"yyyymmdd"),KEY_A,0)),IFERROR("("&amp;INDEX(LOG_SYM,MATCH($B12&amp;"|"&amp;TEXT(Z$5,"yyyymmdd"),KEY_P,0))&amp;")","")))))</f>
        <v/>
      </c>
      <c r="AA12" s="21">
        <f>IF(OR($B12="",AA$5=""),"",IF(AA$7="休業","",IF(INDEX(STAFF_DAYS,MATCH($B12,STAFF_NAMES,0),WEEKDAY(AA$5,2))="×","－",IFERROR(INDEX(LOG_SYM,MATCH($B12&amp;"|"&amp;TEXT(AA$5,"yyyymmdd"),KEY_A,0)),IFERROR("("&amp;INDEX(LOG_SYM,MATCH($B12&amp;"|"&amp;TEXT(AA$5,"yyyymmdd"),KEY_P,0))&amp;")","")))))</f>
        <v/>
      </c>
      <c r="AB12" s="21">
        <f>IF(OR($B12="",AB$5=""),"",IF(AB$7="休業","",IF(INDEX(STAFF_DAYS,MATCH($B12,STAFF_NAMES,0),WEEKDAY(AB$5,2))="×","－",IFERROR(INDEX(LOG_SYM,MATCH($B12&amp;"|"&amp;TEXT(AB$5,"yyyymmdd"),KEY_A,0)),IFERROR("("&amp;INDEX(LOG_SYM,MATCH($B12&amp;"|"&amp;TEXT(AB$5,"yyyymmdd"),KEY_P,0))&amp;")","")))))</f>
        <v/>
      </c>
      <c r="AC12" s="21">
        <f>IF(OR($B12="",AC$5=""),"",IF(AC$7="休業","",IF(INDEX(STAFF_DAYS,MATCH($B12,STAFF_NAMES,0),WEEKDAY(AC$5,2))="×","－",IFERROR(INDEX(LOG_SYM,MATCH($B12&amp;"|"&amp;TEXT(AC$5,"yyyymmdd"),KEY_A,0)),IFERROR("("&amp;INDEX(LOG_SYM,MATCH($B12&amp;"|"&amp;TEXT(AC$5,"yyyymmdd"),KEY_P,0))&amp;")","")))))</f>
        <v/>
      </c>
      <c r="AD12" s="21">
        <f>IF(OR($B12="",AD$5=""),"",IF(AD$7="休業","",IF(INDEX(STAFF_DAYS,MATCH($B12,STAFF_NAMES,0),WEEKDAY(AD$5,2))="×","－",IFERROR(INDEX(LOG_SYM,MATCH($B12&amp;"|"&amp;TEXT(AD$5,"yyyymmdd"),KEY_A,0)),IFERROR("("&amp;INDEX(LOG_SYM,MATCH($B12&amp;"|"&amp;TEXT(AD$5,"yyyymmdd"),KEY_P,0))&amp;")","")))))</f>
        <v/>
      </c>
      <c r="AE12" s="21">
        <f>IF(OR($B12="",AE$5=""),"",IF(AE$7="休業","",IF(INDEX(STAFF_DAYS,MATCH($B12,STAFF_NAMES,0),WEEKDAY(AE$5,2))="×","－",IFERROR(INDEX(LOG_SYM,MATCH($B12&amp;"|"&amp;TEXT(AE$5,"yyyymmdd"),KEY_A,0)),IFERROR("("&amp;INDEX(LOG_SYM,MATCH($B12&amp;"|"&amp;TEXT(AE$5,"yyyymmdd"),KEY_P,0))&amp;")","")))))</f>
        <v/>
      </c>
      <c r="AF12" s="21">
        <f>IF(OR($B12="",AF$5=""),"",IF(AF$7="休業","",IF(INDEX(STAFF_DAYS,MATCH($B12,STAFF_NAMES,0),WEEKDAY(AF$5,2))="×","－",IFERROR(INDEX(LOG_SYM,MATCH($B12&amp;"|"&amp;TEXT(AF$5,"yyyymmdd"),KEY_A,0)),IFERROR("("&amp;INDEX(LOG_SYM,MATCH($B12&amp;"|"&amp;TEXT(AF$5,"yyyymmdd"),KEY_P,0))&amp;")","")))))</f>
        <v/>
      </c>
      <c r="AG12" s="21">
        <f>IF(OR($B12="",AG$5=""),"",IF(AG$7="休業","",IF(INDEX(STAFF_DAYS,MATCH($B12,STAFF_NAMES,0),WEEKDAY(AG$5,2))="×","－",IFERROR(INDEX(LOG_SYM,MATCH($B12&amp;"|"&amp;TEXT(AG$5,"yyyymmdd"),KEY_A,0)),IFERROR("("&amp;INDEX(LOG_SYM,MATCH($B12&amp;"|"&amp;TEXT(AG$5,"yyyymmdd"),KEY_P,0))&amp;")","")))))</f>
        <v/>
      </c>
      <c r="AH12" s="21">
        <f>IF(OR($B12="",AH$5=""),"",IF(AH$7="休業","",IF(INDEX(STAFF_DAYS,MATCH($B12,STAFF_NAMES,0),WEEKDAY(AH$5,2))="×","－",IFERROR(INDEX(LOG_SYM,MATCH($B12&amp;"|"&amp;TEXT(AH$5,"yyyymmdd"),KEY_A,0)),IFERROR("("&amp;INDEX(LOG_SYM,MATCH($B12&amp;"|"&amp;TEXT(AH$5,"yyyymmdd"),KEY_P,0))&amp;")","")))))</f>
        <v/>
      </c>
      <c r="AJ12" s="22">
        <f>IF($B12="","",COUNT(D27:AH27))</f>
        <v/>
      </c>
      <c r="AK12" s="23">
        <f>IF($B12="","",SUM(D27:AH27))</f>
        <v/>
      </c>
      <c r="AL12" s="23">
        <f>IF($B12="","",AJ12-AK12)</f>
        <v/>
      </c>
      <c r="AM12" s="23">
        <f>IF($B12="","",COUNTIF(D12:AH12,"有")+0.5*(COUNTIF(D12:AH12,"午前")+COUNTIF(D12:AH12,"午後")))</f>
        <v/>
      </c>
    </row>
    <row r="13">
      <c r="B13" s="19">
        <f>設定!B10</f>
        <v/>
      </c>
      <c r="C13" s="20">
        <f>設定!C10</f>
        <v/>
      </c>
      <c r="D13" s="21">
        <f>IF(OR($B13="",D$5=""),"",IF(D$7="休業","",IF(INDEX(STAFF_DAYS,MATCH($B13,STAFF_NAMES,0),WEEKDAY(D$5,2))="×","－",IFERROR(INDEX(LOG_SYM,MATCH($B13&amp;"|"&amp;TEXT(D$5,"yyyymmdd"),KEY_A,0)),IFERROR("("&amp;INDEX(LOG_SYM,MATCH($B13&amp;"|"&amp;TEXT(D$5,"yyyymmdd"),KEY_P,0))&amp;")","")))))</f>
        <v/>
      </c>
      <c r="E13" s="21">
        <f>IF(OR($B13="",E$5=""),"",IF(E$7="休業","",IF(INDEX(STAFF_DAYS,MATCH($B13,STAFF_NAMES,0),WEEKDAY(E$5,2))="×","－",IFERROR(INDEX(LOG_SYM,MATCH($B13&amp;"|"&amp;TEXT(E$5,"yyyymmdd"),KEY_A,0)),IFERROR("("&amp;INDEX(LOG_SYM,MATCH($B13&amp;"|"&amp;TEXT(E$5,"yyyymmdd"),KEY_P,0))&amp;")","")))))</f>
        <v/>
      </c>
      <c r="F13" s="21">
        <f>IF(OR($B13="",F$5=""),"",IF(F$7="休業","",IF(INDEX(STAFF_DAYS,MATCH($B13,STAFF_NAMES,0),WEEKDAY(F$5,2))="×","－",IFERROR(INDEX(LOG_SYM,MATCH($B13&amp;"|"&amp;TEXT(F$5,"yyyymmdd"),KEY_A,0)),IFERROR("("&amp;INDEX(LOG_SYM,MATCH($B13&amp;"|"&amp;TEXT(F$5,"yyyymmdd"),KEY_P,0))&amp;")","")))))</f>
        <v/>
      </c>
      <c r="G13" s="21">
        <f>IF(OR($B13="",G$5=""),"",IF(G$7="休業","",IF(INDEX(STAFF_DAYS,MATCH($B13,STAFF_NAMES,0),WEEKDAY(G$5,2))="×","－",IFERROR(INDEX(LOG_SYM,MATCH($B13&amp;"|"&amp;TEXT(G$5,"yyyymmdd"),KEY_A,0)),IFERROR("("&amp;INDEX(LOG_SYM,MATCH($B13&amp;"|"&amp;TEXT(G$5,"yyyymmdd"),KEY_P,0))&amp;")","")))))</f>
        <v/>
      </c>
      <c r="H13" s="21">
        <f>IF(OR($B13="",H$5=""),"",IF(H$7="休業","",IF(INDEX(STAFF_DAYS,MATCH($B13,STAFF_NAMES,0),WEEKDAY(H$5,2))="×","－",IFERROR(INDEX(LOG_SYM,MATCH($B13&amp;"|"&amp;TEXT(H$5,"yyyymmdd"),KEY_A,0)),IFERROR("("&amp;INDEX(LOG_SYM,MATCH($B13&amp;"|"&amp;TEXT(H$5,"yyyymmdd"),KEY_P,0))&amp;")","")))))</f>
        <v/>
      </c>
      <c r="I13" s="21">
        <f>IF(OR($B13="",I$5=""),"",IF(I$7="休業","",IF(INDEX(STAFF_DAYS,MATCH($B13,STAFF_NAMES,0),WEEKDAY(I$5,2))="×","－",IFERROR(INDEX(LOG_SYM,MATCH($B13&amp;"|"&amp;TEXT(I$5,"yyyymmdd"),KEY_A,0)),IFERROR("("&amp;INDEX(LOG_SYM,MATCH($B13&amp;"|"&amp;TEXT(I$5,"yyyymmdd"),KEY_P,0))&amp;")","")))))</f>
        <v/>
      </c>
      <c r="J13" s="21">
        <f>IF(OR($B13="",J$5=""),"",IF(J$7="休業","",IF(INDEX(STAFF_DAYS,MATCH($B13,STAFF_NAMES,0),WEEKDAY(J$5,2))="×","－",IFERROR(INDEX(LOG_SYM,MATCH($B13&amp;"|"&amp;TEXT(J$5,"yyyymmdd"),KEY_A,0)),IFERROR("("&amp;INDEX(LOG_SYM,MATCH($B13&amp;"|"&amp;TEXT(J$5,"yyyymmdd"),KEY_P,0))&amp;")","")))))</f>
        <v/>
      </c>
      <c r="K13" s="21">
        <f>IF(OR($B13="",K$5=""),"",IF(K$7="休業","",IF(INDEX(STAFF_DAYS,MATCH($B13,STAFF_NAMES,0),WEEKDAY(K$5,2))="×","－",IFERROR(INDEX(LOG_SYM,MATCH($B13&amp;"|"&amp;TEXT(K$5,"yyyymmdd"),KEY_A,0)),IFERROR("("&amp;INDEX(LOG_SYM,MATCH($B13&amp;"|"&amp;TEXT(K$5,"yyyymmdd"),KEY_P,0))&amp;")","")))))</f>
        <v/>
      </c>
      <c r="L13" s="21">
        <f>IF(OR($B13="",L$5=""),"",IF(L$7="休業","",IF(INDEX(STAFF_DAYS,MATCH($B13,STAFF_NAMES,0),WEEKDAY(L$5,2))="×","－",IFERROR(INDEX(LOG_SYM,MATCH($B13&amp;"|"&amp;TEXT(L$5,"yyyymmdd"),KEY_A,0)),IFERROR("("&amp;INDEX(LOG_SYM,MATCH($B13&amp;"|"&amp;TEXT(L$5,"yyyymmdd"),KEY_P,0))&amp;")","")))))</f>
        <v/>
      </c>
      <c r="M13" s="21">
        <f>IF(OR($B13="",M$5=""),"",IF(M$7="休業","",IF(INDEX(STAFF_DAYS,MATCH($B13,STAFF_NAMES,0),WEEKDAY(M$5,2))="×","－",IFERROR(INDEX(LOG_SYM,MATCH($B13&amp;"|"&amp;TEXT(M$5,"yyyymmdd"),KEY_A,0)),IFERROR("("&amp;INDEX(LOG_SYM,MATCH($B13&amp;"|"&amp;TEXT(M$5,"yyyymmdd"),KEY_P,0))&amp;")","")))))</f>
        <v/>
      </c>
      <c r="N13" s="21">
        <f>IF(OR($B13="",N$5=""),"",IF(N$7="休業","",IF(INDEX(STAFF_DAYS,MATCH($B13,STAFF_NAMES,0),WEEKDAY(N$5,2))="×","－",IFERROR(INDEX(LOG_SYM,MATCH($B13&amp;"|"&amp;TEXT(N$5,"yyyymmdd"),KEY_A,0)),IFERROR("("&amp;INDEX(LOG_SYM,MATCH($B13&amp;"|"&amp;TEXT(N$5,"yyyymmdd"),KEY_P,0))&amp;")","")))))</f>
        <v/>
      </c>
      <c r="O13" s="21">
        <f>IF(OR($B13="",O$5=""),"",IF(O$7="休業","",IF(INDEX(STAFF_DAYS,MATCH($B13,STAFF_NAMES,0),WEEKDAY(O$5,2))="×","－",IFERROR(INDEX(LOG_SYM,MATCH($B13&amp;"|"&amp;TEXT(O$5,"yyyymmdd"),KEY_A,0)),IFERROR("("&amp;INDEX(LOG_SYM,MATCH($B13&amp;"|"&amp;TEXT(O$5,"yyyymmdd"),KEY_P,0))&amp;")","")))))</f>
        <v/>
      </c>
      <c r="P13" s="21">
        <f>IF(OR($B13="",P$5=""),"",IF(P$7="休業","",IF(INDEX(STAFF_DAYS,MATCH($B13,STAFF_NAMES,0),WEEKDAY(P$5,2))="×","－",IFERROR(INDEX(LOG_SYM,MATCH($B13&amp;"|"&amp;TEXT(P$5,"yyyymmdd"),KEY_A,0)),IFERROR("("&amp;INDEX(LOG_SYM,MATCH($B13&amp;"|"&amp;TEXT(P$5,"yyyymmdd"),KEY_P,0))&amp;")","")))))</f>
        <v/>
      </c>
      <c r="Q13" s="21">
        <f>IF(OR($B13="",Q$5=""),"",IF(Q$7="休業","",IF(INDEX(STAFF_DAYS,MATCH($B13,STAFF_NAMES,0),WEEKDAY(Q$5,2))="×","－",IFERROR(INDEX(LOG_SYM,MATCH($B13&amp;"|"&amp;TEXT(Q$5,"yyyymmdd"),KEY_A,0)),IFERROR("("&amp;INDEX(LOG_SYM,MATCH($B13&amp;"|"&amp;TEXT(Q$5,"yyyymmdd"),KEY_P,0))&amp;")","")))))</f>
        <v/>
      </c>
      <c r="R13" s="21">
        <f>IF(OR($B13="",R$5=""),"",IF(R$7="休業","",IF(INDEX(STAFF_DAYS,MATCH($B13,STAFF_NAMES,0),WEEKDAY(R$5,2))="×","－",IFERROR(INDEX(LOG_SYM,MATCH($B13&amp;"|"&amp;TEXT(R$5,"yyyymmdd"),KEY_A,0)),IFERROR("("&amp;INDEX(LOG_SYM,MATCH($B13&amp;"|"&amp;TEXT(R$5,"yyyymmdd"),KEY_P,0))&amp;")","")))))</f>
        <v/>
      </c>
      <c r="S13" s="21">
        <f>IF(OR($B13="",S$5=""),"",IF(S$7="休業","",IF(INDEX(STAFF_DAYS,MATCH($B13,STAFF_NAMES,0),WEEKDAY(S$5,2))="×","－",IFERROR(INDEX(LOG_SYM,MATCH($B13&amp;"|"&amp;TEXT(S$5,"yyyymmdd"),KEY_A,0)),IFERROR("("&amp;INDEX(LOG_SYM,MATCH($B13&amp;"|"&amp;TEXT(S$5,"yyyymmdd"),KEY_P,0))&amp;")","")))))</f>
        <v/>
      </c>
      <c r="T13" s="21">
        <f>IF(OR($B13="",T$5=""),"",IF(T$7="休業","",IF(INDEX(STAFF_DAYS,MATCH($B13,STAFF_NAMES,0),WEEKDAY(T$5,2))="×","－",IFERROR(INDEX(LOG_SYM,MATCH($B13&amp;"|"&amp;TEXT(T$5,"yyyymmdd"),KEY_A,0)),IFERROR("("&amp;INDEX(LOG_SYM,MATCH($B13&amp;"|"&amp;TEXT(T$5,"yyyymmdd"),KEY_P,0))&amp;")","")))))</f>
        <v/>
      </c>
      <c r="U13" s="21">
        <f>IF(OR($B13="",U$5=""),"",IF(U$7="休業","",IF(INDEX(STAFF_DAYS,MATCH($B13,STAFF_NAMES,0),WEEKDAY(U$5,2))="×","－",IFERROR(INDEX(LOG_SYM,MATCH($B13&amp;"|"&amp;TEXT(U$5,"yyyymmdd"),KEY_A,0)),IFERROR("("&amp;INDEX(LOG_SYM,MATCH($B13&amp;"|"&amp;TEXT(U$5,"yyyymmdd"),KEY_P,0))&amp;")","")))))</f>
        <v/>
      </c>
      <c r="V13" s="21">
        <f>IF(OR($B13="",V$5=""),"",IF(V$7="休業","",IF(INDEX(STAFF_DAYS,MATCH($B13,STAFF_NAMES,0),WEEKDAY(V$5,2))="×","－",IFERROR(INDEX(LOG_SYM,MATCH($B13&amp;"|"&amp;TEXT(V$5,"yyyymmdd"),KEY_A,0)),IFERROR("("&amp;INDEX(LOG_SYM,MATCH($B13&amp;"|"&amp;TEXT(V$5,"yyyymmdd"),KEY_P,0))&amp;")","")))))</f>
        <v/>
      </c>
      <c r="W13" s="21">
        <f>IF(OR($B13="",W$5=""),"",IF(W$7="休業","",IF(INDEX(STAFF_DAYS,MATCH($B13,STAFF_NAMES,0),WEEKDAY(W$5,2))="×","－",IFERROR(INDEX(LOG_SYM,MATCH($B13&amp;"|"&amp;TEXT(W$5,"yyyymmdd"),KEY_A,0)),IFERROR("("&amp;INDEX(LOG_SYM,MATCH($B13&amp;"|"&amp;TEXT(W$5,"yyyymmdd"),KEY_P,0))&amp;")","")))))</f>
        <v/>
      </c>
      <c r="X13" s="21">
        <f>IF(OR($B13="",X$5=""),"",IF(X$7="休業","",IF(INDEX(STAFF_DAYS,MATCH($B13,STAFF_NAMES,0),WEEKDAY(X$5,2))="×","－",IFERROR(INDEX(LOG_SYM,MATCH($B13&amp;"|"&amp;TEXT(X$5,"yyyymmdd"),KEY_A,0)),IFERROR("("&amp;INDEX(LOG_SYM,MATCH($B13&amp;"|"&amp;TEXT(X$5,"yyyymmdd"),KEY_P,0))&amp;")","")))))</f>
        <v/>
      </c>
      <c r="Y13" s="21">
        <f>IF(OR($B13="",Y$5=""),"",IF(Y$7="休業","",IF(INDEX(STAFF_DAYS,MATCH($B13,STAFF_NAMES,0),WEEKDAY(Y$5,2))="×","－",IFERROR(INDEX(LOG_SYM,MATCH($B13&amp;"|"&amp;TEXT(Y$5,"yyyymmdd"),KEY_A,0)),IFERROR("("&amp;INDEX(LOG_SYM,MATCH($B13&amp;"|"&amp;TEXT(Y$5,"yyyymmdd"),KEY_P,0))&amp;")","")))))</f>
        <v/>
      </c>
      <c r="Z13" s="21">
        <f>IF(OR($B13="",Z$5=""),"",IF(Z$7="休業","",IF(INDEX(STAFF_DAYS,MATCH($B13,STAFF_NAMES,0),WEEKDAY(Z$5,2))="×","－",IFERROR(INDEX(LOG_SYM,MATCH($B13&amp;"|"&amp;TEXT(Z$5,"yyyymmdd"),KEY_A,0)),IFERROR("("&amp;INDEX(LOG_SYM,MATCH($B13&amp;"|"&amp;TEXT(Z$5,"yyyymmdd"),KEY_P,0))&amp;")","")))))</f>
        <v/>
      </c>
      <c r="AA13" s="21">
        <f>IF(OR($B13="",AA$5=""),"",IF(AA$7="休業","",IF(INDEX(STAFF_DAYS,MATCH($B13,STAFF_NAMES,0),WEEKDAY(AA$5,2))="×","－",IFERROR(INDEX(LOG_SYM,MATCH($B13&amp;"|"&amp;TEXT(AA$5,"yyyymmdd"),KEY_A,0)),IFERROR("("&amp;INDEX(LOG_SYM,MATCH($B13&amp;"|"&amp;TEXT(AA$5,"yyyymmdd"),KEY_P,0))&amp;")","")))))</f>
        <v/>
      </c>
      <c r="AB13" s="21">
        <f>IF(OR($B13="",AB$5=""),"",IF(AB$7="休業","",IF(INDEX(STAFF_DAYS,MATCH($B13,STAFF_NAMES,0),WEEKDAY(AB$5,2))="×","－",IFERROR(INDEX(LOG_SYM,MATCH($B13&amp;"|"&amp;TEXT(AB$5,"yyyymmdd"),KEY_A,0)),IFERROR("("&amp;INDEX(LOG_SYM,MATCH($B13&amp;"|"&amp;TEXT(AB$5,"yyyymmdd"),KEY_P,0))&amp;")","")))))</f>
        <v/>
      </c>
      <c r="AC13" s="21">
        <f>IF(OR($B13="",AC$5=""),"",IF(AC$7="休業","",IF(INDEX(STAFF_DAYS,MATCH($B13,STAFF_NAMES,0),WEEKDAY(AC$5,2))="×","－",IFERROR(INDEX(LOG_SYM,MATCH($B13&amp;"|"&amp;TEXT(AC$5,"yyyymmdd"),KEY_A,0)),IFERROR("("&amp;INDEX(LOG_SYM,MATCH($B13&amp;"|"&amp;TEXT(AC$5,"yyyymmdd"),KEY_P,0))&amp;")","")))))</f>
        <v/>
      </c>
      <c r="AD13" s="21">
        <f>IF(OR($B13="",AD$5=""),"",IF(AD$7="休業","",IF(INDEX(STAFF_DAYS,MATCH($B13,STAFF_NAMES,0),WEEKDAY(AD$5,2))="×","－",IFERROR(INDEX(LOG_SYM,MATCH($B13&amp;"|"&amp;TEXT(AD$5,"yyyymmdd"),KEY_A,0)),IFERROR("("&amp;INDEX(LOG_SYM,MATCH($B13&amp;"|"&amp;TEXT(AD$5,"yyyymmdd"),KEY_P,0))&amp;")","")))))</f>
        <v/>
      </c>
      <c r="AE13" s="21">
        <f>IF(OR($B13="",AE$5=""),"",IF(AE$7="休業","",IF(INDEX(STAFF_DAYS,MATCH($B13,STAFF_NAMES,0),WEEKDAY(AE$5,2))="×","－",IFERROR(INDEX(LOG_SYM,MATCH($B13&amp;"|"&amp;TEXT(AE$5,"yyyymmdd"),KEY_A,0)),IFERROR("("&amp;INDEX(LOG_SYM,MATCH($B13&amp;"|"&amp;TEXT(AE$5,"yyyymmdd"),KEY_P,0))&amp;")","")))))</f>
        <v/>
      </c>
      <c r="AF13" s="21">
        <f>IF(OR($B13="",AF$5=""),"",IF(AF$7="休業","",IF(INDEX(STAFF_DAYS,MATCH($B13,STAFF_NAMES,0),WEEKDAY(AF$5,2))="×","－",IFERROR(INDEX(LOG_SYM,MATCH($B13&amp;"|"&amp;TEXT(AF$5,"yyyymmdd"),KEY_A,0)),IFERROR("("&amp;INDEX(LOG_SYM,MATCH($B13&amp;"|"&amp;TEXT(AF$5,"yyyymmdd"),KEY_P,0))&amp;")","")))))</f>
        <v/>
      </c>
      <c r="AG13" s="21">
        <f>IF(OR($B13="",AG$5=""),"",IF(AG$7="休業","",IF(INDEX(STAFF_DAYS,MATCH($B13,STAFF_NAMES,0),WEEKDAY(AG$5,2))="×","－",IFERROR(INDEX(LOG_SYM,MATCH($B13&amp;"|"&amp;TEXT(AG$5,"yyyymmdd"),KEY_A,0)),IFERROR("("&amp;INDEX(LOG_SYM,MATCH($B13&amp;"|"&amp;TEXT(AG$5,"yyyymmdd"),KEY_P,0))&amp;")","")))))</f>
        <v/>
      </c>
      <c r="AH13" s="21">
        <f>IF(OR($B13="",AH$5=""),"",IF(AH$7="休業","",IF(INDEX(STAFF_DAYS,MATCH($B13,STAFF_NAMES,0),WEEKDAY(AH$5,2))="×","－",IFERROR(INDEX(LOG_SYM,MATCH($B13&amp;"|"&amp;TEXT(AH$5,"yyyymmdd"),KEY_A,0)),IFERROR("("&amp;INDEX(LOG_SYM,MATCH($B13&amp;"|"&amp;TEXT(AH$5,"yyyymmdd"),KEY_P,0))&amp;")","")))))</f>
        <v/>
      </c>
      <c r="AJ13" s="22">
        <f>IF($B13="","",COUNT(D28:AH28))</f>
        <v/>
      </c>
      <c r="AK13" s="23">
        <f>IF($B13="","",SUM(D28:AH28))</f>
        <v/>
      </c>
      <c r="AL13" s="23">
        <f>IF($B13="","",AJ13-AK13)</f>
        <v/>
      </c>
      <c r="AM13" s="23">
        <f>IF($B13="","",COUNTIF(D13:AH13,"有")+0.5*(COUNTIF(D13:AH13,"午前")+COUNTIF(D13:AH13,"午後")))</f>
        <v/>
      </c>
    </row>
    <row r="15">
      <c r="B15" s="24" t="inlineStr">
        <is>
          <t>出勤人数（承認済み反映）</t>
        </is>
      </c>
      <c r="C15" s="5" t="n"/>
      <c r="D15" s="25">
        <f>IF(D$5="","",IF(D$7="休業","－",SUM(D23:D28)))</f>
        <v/>
      </c>
      <c r="E15" s="25">
        <f>IF(E$5="","",IF(E$7="休業","－",SUM(E23:E28)))</f>
        <v/>
      </c>
      <c r="F15" s="25">
        <f>IF(F$5="","",IF(F$7="休業","－",SUM(F23:F28)))</f>
        <v/>
      </c>
      <c r="G15" s="25">
        <f>IF(G$5="","",IF(G$7="休業","－",SUM(G23:G28)))</f>
        <v/>
      </c>
      <c r="H15" s="25">
        <f>IF(H$5="","",IF(H$7="休業","－",SUM(H23:H28)))</f>
        <v/>
      </c>
      <c r="I15" s="25">
        <f>IF(I$5="","",IF(I$7="休業","－",SUM(I23:I28)))</f>
        <v/>
      </c>
      <c r="J15" s="25">
        <f>IF(J$5="","",IF(J$7="休業","－",SUM(J23:J28)))</f>
        <v/>
      </c>
      <c r="K15" s="25">
        <f>IF(K$5="","",IF(K$7="休業","－",SUM(K23:K28)))</f>
        <v/>
      </c>
      <c r="L15" s="25">
        <f>IF(L$5="","",IF(L$7="休業","－",SUM(L23:L28)))</f>
        <v/>
      </c>
      <c r="M15" s="25">
        <f>IF(M$5="","",IF(M$7="休業","－",SUM(M23:M28)))</f>
        <v/>
      </c>
      <c r="N15" s="25">
        <f>IF(N$5="","",IF(N$7="休業","－",SUM(N23:N28)))</f>
        <v/>
      </c>
      <c r="O15" s="25">
        <f>IF(O$5="","",IF(O$7="休業","－",SUM(O23:O28)))</f>
        <v/>
      </c>
      <c r="P15" s="25">
        <f>IF(P$5="","",IF(P$7="休業","－",SUM(P23:P28)))</f>
        <v/>
      </c>
      <c r="Q15" s="25">
        <f>IF(Q$5="","",IF(Q$7="休業","－",SUM(Q23:Q28)))</f>
        <v/>
      </c>
      <c r="R15" s="25">
        <f>IF(R$5="","",IF(R$7="休業","－",SUM(R23:R28)))</f>
        <v/>
      </c>
      <c r="S15" s="25">
        <f>IF(S$5="","",IF(S$7="休業","－",SUM(S23:S28)))</f>
        <v/>
      </c>
      <c r="T15" s="25">
        <f>IF(T$5="","",IF(T$7="休業","－",SUM(T23:T28)))</f>
        <v/>
      </c>
      <c r="U15" s="25">
        <f>IF(U$5="","",IF(U$7="休業","－",SUM(U23:U28)))</f>
        <v/>
      </c>
      <c r="V15" s="25">
        <f>IF(V$5="","",IF(V$7="休業","－",SUM(V23:V28)))</f>
        <v/>
      </c>
      <c r="W15" s="25">
        <f>IF(W$5="","",IF(W$7="休業","－",SUM(W23:W28)))</f>
        <v/>
      </c>
      <c r="X15" s="25">
        <f>IF(X$5="","",IF(X$7="休業","－",SUM(X23:X28)))</f>
        <v/>
      </c>
      <c r="Y15" s="25">
        <f>IF(Y$5="","",IF(Y$7="休業","－",SUM(Y23:Y28)))</f>
        <v/>
      </c>
      <c r="Z15" s="25">
        <f>IF(Z$5="","",IF(Z$7="休業","－",SUM(Z23:Z28)))</f>
        <v/>
      </c>
      <c r="AA15" s="25">
        <f>IF(AA$5="","",IF(AA$7="休業","－",SUM(AA23:AA28)))</f>
        <v/>
      </c>
      <c r="AB15" s="25">
        <f>IF(AB$5="","",IF(AB$7="休業","－",SUM(AB23:AB28)))</f>
        <v/>
      </c>
      <c r="AC15" s="25">
        <f>IF(AC$5="","",IF(AC$7="休業","－",SUM(AC23:AC28)))</f>
        <v/>
      </c>
      <c r="AD15" s="25">
        <f>IF(AD$5="","",IF(AD$7="休業","－",SUM(AD23:AD28)))</f>
        <v/>
      </c>
      <c r="AE15" s="25">
        <f>IF(AE$5="","",IF(AE$7="休業","－",SUM(AE23:AE28)))</f>
        <v/>
      </c>
      <c r="AF15" s="25">
        <f>IF(AF$5="","",IF(AF$7="休業","－",SUM(AF23:AF28)))</f>
        <v/>
      </c>
      <c r="AG15" s="25">
        <f>IF(AG$5="","",IF(AG$7="休業","－",SUM(AG23:AG28)))</f>
        <v/>
      </c>
      <c r="AH15" s="25">
        <f>IF(AH$5="","",IF(AH$7="休業","－",SUM(AH23:AH28)))</f>
        <v/>
      </c>
    </row>
    <row r="16">
      <c r="B16" s="26" t="inlineStr">
        <is>
          <t xml:space="preserve">　うち正社員</t>
        </is>
      </c>
      <c r="C16" s="5" t="n"/>
      <c r="D16" s="23">
        <f>IF(D$5="","",IF(D$7="休業","－",SUMIF($C$8:$C$13,"正社員",D23:D28)))</f>
        <v/>
      </c>
      <c r="E16" s="23">
        <f>IF(E$5="","",IF(E$7="休業","－",SUMIF($C$8:$C$13,"正社員",E23:E28)))</f>
        <v/>
      </c>
      <c r="F16" s="23">
        <f>IF(F$5="","",IF(F$7="休業","－",SUMIF($C$8:$C$13,"正社員",F23:F28)))</f>
        <v/>
      </c>
      <c r="G16" s="23">
        <f>IF(G$5="","",IF(G$7="休業","－",SUMIF($C$8:$C$13,"正社員",G23:G28)))</f>
        <v/>
      </c>
      <c r="H16" s="23">
        <f>IF(H$5="","",IF(H$7="休業","－",SUMIF($C$8:$C$13,"正社員",H23:H28)))</f>
        <v/>
      </c>
      <c r="I16" s="23">
        <f>IF(I$5="","",IF(I$7="休業","－",SUMIF($C$8:$C$13,"正社員",I23:I28)))</f>
        <v/>
      </c>
      <c r="J16" s="23">
        <f>IF(J$5="","",IF(J$7="休業","－",SUMIF($C$8:$C$13,"正社員",J23:J28)))</f>
        <v/>
      </c>
      <c r="K16" s="23">
        <f>IF(K$5="","",IF(K$7="休業","－",SUMIF($C$8:$C$13,"正社員",K23:K28)))</f>
        <v/>
      </c>
      <c r="L16" s="23">
        <f>IF(L$5="","",IF(L$7="休業","－",SUMIF($C$8:$C$13,"正社員",L23:L28)))</f>
        <v/>
      </c>
      <c r="M16" s="23">
        <f>IF(M$5="","",IF(M$7="休業","－",SUMIF($C$8:$C$13,"正社員",M23:M28)))</f>
        <v/>
      </c>
      <c r="N16" s="23">
        <f>IF(N$5="","",IF(N$7="休業","－",SUMIF($C$8:$C$13,"正社員",N23:N28)))</f>
        <v/>
      </c>
      <c r="O16" s="23">
        <f>IF(O$5="","",IF(O$7="休業","－",SUMIF($C$8:$C$13,"正社員",O23:O28)))</f>
        <v/>
      </c>
      <c r="P16" s="23">
        <f>IF(P$5="","",IF(P$7="休業","－",SUMIF($C$8:$C$13,"正社員",P23:P28)))</f>
        <v/>
      </c>
      <c r="Q16" s="23">
        <f>IF(Q$5="","",IF(Q$7="休業","－",SUMIF($C$8:$C$13,"正社員",Q23:Q28)))</f>
        <v/>
      </c>
      <c r="R16" s="23">
        <f>IF(R$5="","",IF(R$7="休業","－",SUMIF($C$8:$C$13,"正社員",R23:R28)))</f>
        <v/>
      </c>
      <c r="S16" s="23">
        <f>IF(S$5="","",IF(S$7="休業","－",SUMIF($C$8:$C$13,"正社員",S23:S28)))</f>
        <v/>
      </c>
      <c r="T16" s="23">
        <f>IF(T$5="","",IF(T$7="休業","－",SUMIF($C$8:$C$13,"正社員",T23:T28)))</f>
        <v/>
      </c>
      <c r="U16" s="23">
        <f>IF(U$5="","",IF(U$7="休業","－",SUMIF($C$8:$C$13,"正社員",U23:U28)))</f>
        <v/>
      </c>
      <c r="V16" s="23">
        <f>IF(V$5="","",IF(V$7="休業","－",SUMIF($C$8:$C$13,"正社員",V23:V28)))</f>
        <v/>
      </c>
      <c r="W16" s="23">
        <f>IF(W$5="","",IF(W$7="休業","－",SUMIF($C$8:$C$13,"正社員",W23:W28)))</f>
        <v/>
      </c>
      <c r="X16" s="23">
        <f>IF(X$5="","",IF(X$7="休業","－",SUMIF($C$8:$C$13,"正社員",X23:X28)))</f>
        <v/>
      </c>
      <c r="Y16" s="23">
        <f>IF(Y$5="","",IF(Y$7="休業","－",SUMIF($C$8:$C$13,"正社員",Y23:Y28)))</f>
        <v/>
      </c>
      <c r="Z16" s="23">
        <f>IF(Z$5="","",IF(Z$7="休業","－",SUMIF($C$8:$C$13,"正社員",Z23:Z28)))</f>
        <v/>
      </c>
      <c r="AA16" s="23">
        <f>IF(AA$5="","",IF(AA$7="休業","－",SUMIF($C$8:$C$13,"正社員",AA23:AA28)))</f>
        <v/>
      </c>
      <c r="AB16" s="23">
        <f>IF(AB$5="","",IF(AB$7="休業","－",SUMIF($C$8:$C$13,"正社員",AB23:AB28)))</f>
        <v/>
      </c>
      <c r="AC16" s="23">
        <f>IF(AC$5="","",IF(AC$7="休業","－",SUMIF($C$8:$C$13,"正社員",AC23:AC28)))</f>
        <v/>
      </c>
      <c r="AD16" s="23">
        <f>IF(AD$5="","",IF(AD$7="休業","－",SUMIF($C$8:$C$13,"正社員",AD23:AD28)))</f>
        <v/>
      </c>
      <c r="AE16" s="23">
        <f>IF(AE$5="","",IF(AE$7="休業","－",SUMIF($C$8:$C$13,"正社員",AE23:AE28)))</f>
        <v/>
      </c>
      <c r="AF16" s="23">
        <f>IF(AF$5="","",IF(AF$7="休業","－",SUMIF($C$8:$C$13,"正社員",AF23:AF28)))</f>
        <v/>
      </c>
      <c r="AG16" s="23">
        <f>IF(AG$5="","",IF(AG$7="休業","－",SUMIF($C$8:$C$13,"正社員",AG23:AG28)))</f>
        <v/>
      </c>
      <c r="AH16" s="23">
        <f>IF(AH$5="","",IF(AH$7="休業","－",SUMIF($C$8:$C$13,"正社員",AH23:AH28)))</f>
        <v/>
      </c>
    </row>
    <row r="17">
      <c r="B17" s="26" t="inlineStr">
        <is>
          <t xml:space="preserve">　うち派遣</t>
        </is>
      </c>
      <c r="C17" s="5" t="n"/>
      <c r="D17" s="23">
        <f>IF(D$5="","",IF(D$7="休業","－",SUMIF($C$8:$C$13,"派遣",D23:D28)))</f>
        <v/>
      </c>
      <c r="E17" s="23">
        <f>IF(E$5="","",IF(E$7="休業","－",SUMIF($C$8:$C$13,"派遣",E23:E28)))</f>
        <v/>
      </c>
      <c r="F17" s="23">
        <f>IF(F$5="","",IF(F$7="休業","－",SUMIF($C$8:$C$13,"派遣",F23:F28)))</f>
        <v/>
      </c>
      <c r="G17" s="23">
        <f>IF(G$5="","",IF(G$7="休業","－",SUMIF($C$8:$C$13,"派遣",G23:G28)))</f>
        <v/>
      </c>
      <c r="H17" s="23">
        <f>IF(H$5="","",IF(H$7="休業","－",SUMIF($C$8:$C$13,"派遣",H23:H28)))</f>
        <v/>
      </c>
      <c r="I17" s="23">
        <f>IF(I$5="","",IF(I$7="休業","－",SUMIF($C$8:$C$13,"派遣",I23:I28)))</f>
        <v/>
      </c>
      <c r="J17" s="23">
        <f>IF(J$5="","",IF(J$7="休業","－",SUMIF($C$8:$C$13,"派遣",J23:J28)))</f>
        <v/>
      </c>
      <c r="K17" s="23">
        <f>IF(K$5="","",IF(K$7="休業","－",SUMIF($C$8:$C$13,"派遣",K23:K28)))</f>
        <v/>
      </c>
      <c r="L17" s="23">
        <f>IF(L$5="","",IF(L$7="休業","－",SUMIF($C$8:$C$13,"派遣",L23:L28)))</f>
        <v/>
      </c>
      <c r="M17" s="23">
        <f>IF(M$5="","",IF(M$7="休業","－",SUMIF($C$8:$C$13,"派遣",M23:M28)))</f>
        <v/>
      </c>
      <c r="N17" s="23">
        <f>IF(N$5="","",IF(N$7="休業","－",SUMIF($C$8:$C$13,"派遣",N23:N28)))</f>
        <v/>
      </c>
      <c r="O17" s="23">
        <f>IF(O$5="","",IF(O$7="休業","－",SUMIF($C$8:$C$13,"派遣",O23:O28)))</f>
        <v/>
      </c>
      <c r="P17" s="23">
        <f>IF(P$5="","",IF(P$7="休業","－",SUMIF($C$8:$C$13,"派遣",P23:P28)))</f>
        <v/>
      </c>
      <c r="Q17" s="23">
        <f>IF(Q$5="","",IF(Q$7="休業","－",SUMIF($C$8:$C$13,"派遣",Q23:Q28)))</f>
        <v/>
      </c>
      <c r="R17" s="23">
        <f>IF(R$5="","",IF(R$7="休業","－",SUMIF($C$8:$C$13,"派遣",R23:R28)))</f>
        <v/>
      </c>
      <c r="S17" s="23">
        <f>IF(S$5="","",IF(S$7="休業","－",SUMIF($C$8:$C$13,"派遣",S23:S28)))</f>
        <v/>
      </c>
      <c r="T17" s="23">
        <f>IF(T$5="","",IF(T$7="休業","－",SUMIF($C$8:$C$13,"派遣",T23:T28)))</f>
        <v/>
      </c>
      <c r="U17" s="23">
        <f>IF(U$5="","",IF(U$7="休業","－",SUMIF($C$8:$C$13,"派遣",U23:U28)))</f>
        <v/>
      </c>
      <c r="V17" s="23">
        <f>IF(V$5="","",IF(V$7="休業","－",SUMIF($C$8:$C$13,"派遣",V23:V28)))</f>
        <v/>
      </c>
      <c r="W17" s="23">
        <f>IF(W$5="","",IF(W$7="休業","－",SUMIF($C$8:$C$13,"派遣",W23:W28)))</f>
        <v/>
      </c>
      <c r="X17" s="23">
        <f>IF(X$5="","",IF(X$7="休業","－",SUMIF($C$8:$C$13,"派遣",X23:X28)))</f>
        <v/>
      </c>
      <c r="Y17" s="23">
        <f>IF(Y$5="","",IF(Y$7="休業","－",SUMIF($C$8:$C$13,"派遣",Y23:Y28)))</f>
        <v/>
      </c>
      <c r="Z17" s="23">
        <f>IF(Z$5="","",IF(Z$7="休業","－",SUMIF($C$8:$C$13,"派遣",Z23:Z28)))</f>
        <v/>
      </c>
      <c r="AA17" s="23">
        <f>IF(AA$5="","",IF(AA$7="休業","－",SUMIF($C$8:$C$13,"派遣",AA23:AA28)))</f>
        <v/>
      </c>
      <c r="AB17" s="23">
        <f>IF(AB$5="","",IF(AB$7="休業","－",SUMIF($C$8:$C$13,"派遣",AB23:AB28)))</f>
        <v/>
      </c>
      <c r="AC17" s="23">
        <f>IF(AC$5="","",IF(AC$7="休業","－",SUMIF($C$8:$C$13,"派遣",AC23:AC28)))</f>
        <v/>
      </c>
      <c r="AD17" s="23">
        <f>IF(AD$5="","",IF(AD$7="休業","－",SUMIF($C$8:$C$13,"派遣",AD23:AD28)))</f>
        <v/>
      </c>
      <c r="AE17" s="23">
        <f>IF(AE$5="","",IF(AE$7="休業","－",SUMIF($C$8:$C$13,"派遣",AE23:AE28)))</f>
        <v/>
      </c>
      <c r="AF17" s="23">
        <f>IF(AF$5="","",IF(AF$7="休業","－",SUMIF($C$8:$C$13,"派遣",AF23:AF28)))</f>
        <v/>
      </c>
      <c r="AG17" s="23">
        <f>IF(AG$5="","",IF(AG$7="休業","－",SUMIF($C$8:$C$13,"派遣",AG23:AG28)))</f>
        <v/>
      </c>
      <c r="AH17" s="23">
        <f>IF(AH$5="","",IF(AH$7="休業","－",SUMIF($C$8:$C$13,"派遣",AH23:AH28)))</f>
        <v/>
      </c>
    </row>
    <row r="18">
      <c r="B18" s="24" t="inlineStr">
        <is>
          <t>判定（NG=下限割れ）</t>
        </is>
      </c>
      <c r="C18" s="5" t="n"/>
      <c r="D18" s="27">
        <f>IF(D$5="","",IF(D$7="休業","－",IF(OR(D15&lt;MIN_ALL,D16&lt;MIN_FT),"NG","OK")))</f>
        <v/>
      </c>
      <c r="E18" s="27">
        <f>IF(E$5="","",IF(E$7="休業","－",IF(OR(E15&lt;MIN_ALL,E16&lt;MIN_FT),"NG","OK")))</f>
        <v/>
      </c>
      <c r="F18" s="27">
        <f>IF(F$5="","",IF(F$7="休業","－",IF(OR(F15&lt;MIN_ALL,F16&lt;MIN_FT),"NG","OK")))</f>
        <v/>
      </c>
      <c r="G18" s="27">
        <f>IF(G$5="","",IF(G$7="休業","－",IF(OR(G15&lt;MIN_ALL,G16&lt;MIN_FT),"NG","OK")))</f>
        <v/>
      </c>
      <c r="H18" s="27">
        <f>IF(H$5="","",IF(H$7="休業","－",IF(OR(H15&lt;MIN_ALL,H16&lt;MIN_FT),"NG","OK")))</f>
        <v/>
      </c>
      <c r="I18" s="27">
        <f>IF(I$5="","",IF(I$7="休業","－",IF(OR(I15&lt;MIN_ALL,I16&lt;MIN_FT),"NG","OK")))</f>
        <v/>
      </c>
      <c r="J18" s="27">
        <f>IF(J$5="","",IF(J$7="休業","－",IF(OR(J15&lt;MIN_ALL,J16&lt;MIN_FT),"NG","OK")))</f>
        <v/>
      </c>
      <c r="K18" s="27">
        <f>IF(K$5="","",IF(K$7="休業","－",IF(OR(K15&lt;MIN_ALL,K16&lt;MIN_FT),"NG","OK")))</f>
        <v/>
      </c>
      <c r="L18" s="27">
        <f>IF(L$5="","",IF(L$7="休業","－",IF(OR(L15&lt;MIN_ALL,L16&lt;MIN_FT),"NG","OK")))</f>
        <v/>
      </c>
      <c r="M18" s="27">
        <f>IF(M$5="","",IF(M$7="休業","－",IF(OR(M15&lt;MIN_ALL,M16&lt;MIN_FT),"NG","OK")))</f>
        <v/>
      </c>
      <c r="N18" s="27">
        <f>IF(N$5="","",IF(N$7="休業","－",IF(OR(N15&lt;MIN_ALL,N16&lt;MIN_FT),"NG","OK")))</f>
        <v/>
      </c>
      <c r="O18" s="27">
        <f>IF(O$5="","",IF(O$7="休業","－",IF(OR(O15&lt;MIN_ALL,O16&lt;MIN_FT),"NG","OK")))</f>
        <v/>
      </c>
      <c r="P18" s="27">
        <f>IF(P$5="","",IF(P$7="休業","－",IF(OR(P15&lt;MIN_ALL,P16&lt;MIN_FT),"NG","OK")))</f>
        <v/>
      </c>
      <c r="Q18" s="27">
        <f>IF(Q$5="","",IF(Q$7="休業","－",IF(OR(Q15&lt;MIN_ALL,Q16&lt;MIN_FT),"NG","OK")))</f>
        <v/>
      </c>
      <c r="R18" s="27">
        <f>IF(R$5="","",IF(R$7="休業","－",IF(OR(R15&lt;MIN_ALL,R16&lt;MIN_FT),"NG","OK")))</f>
        <v/>
      </c>
      <c r="S18" s="27">
        <f>IF(S$5="","",IF(S$7="休業","－",IF(OR(S15&lt;MIN_ALL,S16&lt;MIN_FT),"NG","OK")))</f>
        <v/>
      </c>
      <c r="T18" s="27">
        <f>IF(T$5="","",IF(T$7="休業","－",IF(OR(T15&lt;MIN_ALL,T16&lt;MIN_FT),"NG","OK")))</f>
        <v/>
      </c>
      <c r="U18" s="27">
        <f>IF(U$5="","",IF(U$7="休業","－",IF(OR(U15&lt;MIN_ALL,U16&lt;MIN_FT),"NG","OK")))</f>
        <v/>
      </c>
      <c r="V18" s="27">
        <f>IF(V$5="","",IF(V$7="休業","－",IF(OR(V15&lt;MIN_ALL,V16&lt;MIN_FT),"NG","OK")))</f>
        <v/>
      </c>
      <c r="W18" s="27">
        <f>IF(W$5="","",IF(W$7="休業","－",IF(OR(W15&lt;MIN_ALL,W16&lt;MIN_FT),"NG","OK")))</f>
        <v/>
      </c>
      <c r="X18" s="27">
        <f>IF(X$5="","",IF(X$7="休業","－",IF(OR(X15&lt;MIN_ALL,X16&lt;MIN_FT),"NG","OK")))</f>
        <v/>
      </c>
      <c r="Y18" s="27">
        <f>IF(Y$5="","",IF(Y$7="休業","－",IF(OR(Y15&lt;MIN_ALL,Y16&lt;MIN_FT),"NG","OK")))</f>
        <v/>
      </c>
      <c r="Z18" s="27">
        <f>IF(Z$5="","",IF(Z$7="休業","－",IF(OR(Z15&lt;MIN_ALL,Z16&lt;MIN_FT),"NG","OK")))</f>
        <v/>
      </c>
      <c r="AA18" s="27">
        <f>IF(AA$5="","",IF(AA$7="休業","－",IF(OR(AA15&lt;MIN_ALL,AA16&lt;MIN_FT),"NG","OK")))</f>
        <v/>
      </c>
      <c r="AB18" s="27">
        <f>IF(AB$5="","",IF(AB$7="休業","－",IF(OR(AB15&lt;MIN_ALL,AB16&lt;MIN_FT),"NG","OK")))</f>
        <v/>
      </c>
      <c r="AC18" s="27">
        <f>IF(AC$5="","",IF(AC$7="休業","－",IF(OR(AC15&lt;MIN_ALL,AC16&lt;MIN_FT),"NG","OK")))</f>
        <v/>
      </c>
      <c r="AD18" s="27">
        <f>IF(AD$5="","",IF(AD$7="休業","－",IF(OR(AD15&lt;MIN_ALL,AD16&lt;MIN_FT),"NG","OK")))</f>
        <v/>
      </c>
      <c r="AE18" s="27">
        <f>IF(AE$5="","",IF(AE$7="休業","－",IF(OR(AE15&lt;MIN_ALL,AE16&lt;MIN_FT),"NG","OK")))</f>
        <v/>
      </c>
      <c r="AF18" s="27">
        <f>IF(AF$5="","",IF(AF$7="休業","－",IF(OR(AF15&lt;MIN_ALL,AF16&lt;MIN_FT),"NG","OK")))</f>
        <v/>
      </c>
      <c r="AG18" s="27">
        <f>IF(AG$5="","",IF(AG$7="休業","－",IF(OR(AG15&lt;MIN_ALL,AG16&lt;MIN_FT),"NG","OK")))</f>
        <v/>
      </c>
      <c r="AH18" s="27">
        <f>IF(AH$5="","",IF(AH$7="休業","－",IF(OR(AH15&lt;MIN_ALL,AH16&lt;MIN_FT),"NG","OK")))</f>
        <v/>
      </c>
    </row>
    <row r="19">
      <c r="B19" s="26" t="inlineStr">
        <is>
          <t>申請中も休みにした場合の出勤人数</t>
        </is>
      </c>
      <c r="C19" s="5" t="n"/>
      <c r="D19" s="23">
        <f>IF(D$5="","",IF(D$7="休業","－",SUM(D29:D34)))</f>
        <v/>
      </c>
      <c r="E19" s="23">
        <f>IF(E$5="","",IF(E$7="休業","－",SUM(E29:E34)))</f>
        <v/>
      </c>
      <c r="F19" s="23">
        <f>IF(F$5="","",IF(F$7="休業","－",SUM(F29:F34)))</f>
        <v/>
      </c>
      <c r="G19" s="23">
        <f>IF(G$5="","",IF(G$7="休業","－",SUM(G29:G34)))</f>
        <v/>
      </c>
      <c r="H19" s="23">
        <f>IF(H$5="","",IF(H$7="休業","－",SUM(H29:H34)))</f>
        <v/>
      </c>
      <c r="I19" s="23">
        <f>IF(I$5="","",IF(I$7="休業","－",SUM(I29:I34)))</f>
        <v/>
      </c>
      <c r="J19" s="23">
        <f>IF(J$5="","",IF(J$7="休業","－",SUM(J29:J34)))</f>
        <v/>
      </c>
      <c r="K19" s="23">
        <f>IF(K$5="","",IF(K$7="休業","－",SUM(K29:K34)))</f>
        <v/>
      </c>
      <c r="L19" s="23">
        <f>IF(L$5="","",IF(L$7="休業","－",SUM(L29:L34)))</f>
        <v/>
      </c>
      <c r="M19" s="23">
        <f>IF(M$5="","",IF(M$7="休業","－",SUM(M29:M34)))</f>
        <v/>
      </c>
      <c r="N19" s="23">
        <f>IF(N$5="","",IF(N$7="休業","－",SUM(N29:N34)))</f>
        <v/>
      </c>
      <c r="O19" s="23">
        <f>IF(O$5="","",IF(O$7="休業","－",SUM(O29:O34)))</f>
        <v/>
      </c>
      <c r="P19" s="23">
        <f>IF(P$5="","",IF(P$7="休業","－",SUM(P29:P34)))</f>
        <v/>
      </c>
      <c r="Q19" s="23">
        <f>IF(Q$5="","",IF(Q$7="休業","－",SUM(Q29:Q34)))</f>
        <v/>
      </c>
      <c r="R19" s="23">
        <f>IF(R$5="","",IF(R$7="休業","－",SUM(R29:R34)))</f>
        <v/>
      </c>
      <c r="S19" s="23">
        <f>IF(S$5="","",IF(S$7="休業","－",SUM(S29:S34)))</f>
        <v/>
      </c>
      <c r="T19" s="23">
        <f>IF(T$5="","",IF(T$7="休業","－",SUM(T29:T34)))</f>
        <v/>
      </c>
      <c r="U19" s="23">
        <f>IF(U$5="","",IF(U$7="休業","－",SUM(U29:U34)))</f>
        <v/>
      </c>
      <c r="V19" s="23">
        <f>IF(V$5="","",IF(V$7="休業","－",SUM(V29:V34)))</f>
        <v/>
      </c>
      <c r="W19" s="23">
        <f>IF(W$5="","",IF(W$7="休業","－",SUM(W29:W34)))</f>
        <v/>
      </c>
      <c r="X19" s="23">
        <f>IF(X$5="","",IF(X$7="休業","－",SUM(X29:X34)))</f>
        <v/>
      </c>
      <c r="Y19" s="23">
        <f>IF(Y$5="","",IF(Y$7="休業","－",SUM(Y29:Y34)))</f>
        <v/>
      </c>
      <c r="Z19" s="23">
        <f>IF(Z$5="","",IF(Z$7="休業","－",SUM(Z29:Z34)))</f>
        <v/>
      </c>
      <c r="AA19" s="23">
        <f>IF(AA$5="","",IF(AA$7="休業","－",SUM(AA29:AA34)))</f>
        <v/>
      </c>
      <c r="AB19" s="23">
        <f>IF(AB$5="","",IF(AB$7="休業","－",SUM(AB29:AB34)))</f>
        <v/>
      </c>
      <c r="AC19" s="23">
        <f>IF(AC$5="","",IF(AC$7="休業","－",SUM(AC29:AC34)))</f>
        <v/>
      </c>
      <c r="AD19" s="23">
        <f>IF(AD$5="","",IF(AD$7="休業","－",SUM(AD29:AD34)))</f>
        <v/>
      </c>
      <c r="AE19" s="23">
        <f>IF(AE$5="","",IF(AE$7="休業","－",SUM(AE29:AE34)))</f>
        <v/>
      </c>
      <c r="AF19" s="23">
        <f>IF(AF$5="","",IF(AF$7="休業","－",SUM(AF29:AF34)))</f>
        <v/>
      </c>
      <c r="AG19" s="23">
        <f>IF(AG$5="","",IF(AG$7="休業","－",SUM(AG29:AG34)))</f>
        <v/>
      </c>
      <c r="AH19" s="23">
        <f>IF(AH$5="","",IF(AH$7="休業","－",SUM(AH29:AH34)))</f>
        <v/>
      </c>
    </row>
    <row r="20">
      <c r="B20" s="24" t="inlineStr">
        <is>
          <t>申請中を承認した場合の判定</t>
        </is>
      </c>
      <c r="C20" s="5" t="n"/>
      <c r="D20" s="27">
        <f>IF(D$5="","",IF(D$7="休業","－",IF(OR(D19&lt;MIN_ALL,SUMIF($C$8:$C$13,"正社員",D29:D34)&lt;MIN_FT),"要注意","OK")))</f>
        <v/>
      </c>
      <c r="E20" s="27">
        <f>IF(E$5="","",IF(E$7="休業","－",IF(OR(E19&lt;MIN_ALL,SUMIF($C$8:$C$13,"正社員",E29:E34)&lt;MIN_FT),"要注意","OK")))</f>
        <v/>
      </c>
      <c r="F20" s="27">
        <f>IF(F$5="","",IF(F$7="休業","－",IF(OR(F19&lt;MIN_ALL,SUMIF($C$8:$C$13,"正社員",F29:F34)&lt;MIN_FT),"要注意","OK")))</f>
        <v/>
      </c>
      <c r="G20" s="27">
        <f>IF(G$5="","",IF(G$7="休業","－",IF(OR(G19&lt;MIN_ALL,SUMIF($C$8:$C$13,"正社員",G29:G34)&lt;MIN_FT),"要注意","OK")))</f>
        <v/>
      </c>
      <c r="H20" s="27">
        <f>IF(H$5="","",IF(H$7="休業","－",IF(OR(H19&lt;MIN_ALL,SUMIF($C$8:$C$13,"正社員",H29:H34)&lt;MIN_FT),"要注意","OK")))</f>
        <v/>
      </c>
      <c r="I20" s="27">
        <f>IF(I$5="","",IF(I$7="休業","－",IF(OR(I19&lt;MIN_ALL,SUMIF($C$8:$C$13,"正社員",I29:I34)&lt;MIN_FT),"要注意","OK")))</f>
        <v/>
      </c>
      <c r="J20" s="27">
        <f>IF(J$5="","",IF(J$7="休業","－",IF(OR(J19&lt;MIN_ALL,SUMIF($C$8:$C$13,"正社員",J29:J34)&lt;MIN_FT),"要注意","OK")))</f>
        <v/>
      </c>
      <c r="K20" s="27">
        <f>IF(K$5="","",IF(K$7="休業","－",IF(OR(K19&lt;MIN_ALL,SUMIF($C$8:$C$13,"正社員",K29:K34)&lt;MIN_FT),"要注意","OK")))</f>
        <v/>
      </c>
      <c r="L20" s="27">
        <f>IF(L$5="","",IF(L$7="休業","－",IF(OR(L19&lt;MIN_ALL,SUMIF($C$8:$C$13,"正社員",L29:L34)&lt;MIN_FT),"要注意","OK")))</f>
        <v/>
      </c>
      <c r="M20" s="27">
        <f>IF(M$5="","",IF(M$7="休業","－",IF(OR(M19&lt;MIN_ALL,SUMIF($C$8:$C$13,"正社員",M29:M34)&lt;MIN_FT),"要注意","OK")))</f>
        <v/>
      </c>
      <c r="N20" s="27">
        <f>IF(N$5="","",IF(N$7="休業","－",IF(OR(N19&lt;MIN_ALL,SUMIF($C$8:$C$13,"正社員",N29:N34)&lt;MIN_FT),"要注意","OK")))</f>
        <v/>
      </c>
      <c r="O20" s="27">
        <f>IF(O$5="","",IF(O$7="休業","－",IF(OR(O19&lt;MIN_ALL,SUMIF($C$8:$C$13,"正社員",O29:O34)&lt;MIN_FT),"要注意","OK")))</f>
        <v/>
      </c>
      <c r="P20" s="27">
        <f>IF(P$5="","",IF(P$7="休業","－",IF(OR(P19&lt;MIN_ALL,SUMIF($C$8:$C$13,"正社員",P29:P34)&lt;MIN_FT),"要注意","OK")))</f>
        <v/>
      </c>
      <c r="Q20" s="27">
        <f>IF(Q$5="","",IF(Q$7="休業","－",IF(OR(Q19&lt;MIN_ALL,SUMIF($C$8:$C$13,"正社員",Q29:Q34)&lt;MIN_FT),"要注意","OK")))</f>
        <v/>
      </c>
      <c r="R20" s="27">
        <f>IF(R$5="","",IF(R$7="休業","－",IF(OR(R19&lt;MIN_ALL,SUMIF($C$8:$C$13,"正社員",R29:R34)&lt;MIN_FT),"要注意","OK")))</f>
        <v/>
      </c>
      <c r="S20" s="27">
        <f>IF(S$5="","",IF(S$7="休業","－",IF(OR(S19&lt;MIN_ALL,SUMIF($C$8:$C$13,"正社員",S29:S34)&lt;MIN_FT),"要注意","OK")))</f>
        <v/>
      </c>
      <c r="T20" s="27">
        <f>IF(T$5="","",IF(T$7="休業","－",IF(OR(T19&lt;MIN_ALL,SUMIF($C$8:$C$13,"正社員",T29:T34)&lt;MIN_FT),"要注意","OK")))</f>
        <v/>
      </c>
      <c r="U20" s="27">
        <f>IF(U$5="","",IF(U$7="休業","－",IF(OR(U19&lt;MIN_ALL,SUMIF($C$8:$C$13,"正社員",U29:U34)&lt;MIN_FT),"要注意","OK")))</f>
        <v/>
      </c>
      <c r="V20" s="27">
        <f>IF(V$5="","",IF(V$7="休業","－",IF(OR(V19&lt;MIN_ALL,SUMIF($C$8:$C$13,"正社員",V29:V34)&lt;MIN_FT),"要注意","OK")))</f>
        <v/>
      </c>
      <c r="W20" s="27">
        <f>IF(W$5="","",IF(W$7="休業","－",IF(OR(W19&lt;MIN_ALL,SUMIF($C$8:$C$13,"正社員",W29:W34)&lt;MIN_FT),"要注意","OK")))</f>
        <v/>
      </c>
      <c r="X20" s="27">
        <f>IF(X$5="","",IF(X$7="休業","－",IF(OR(X19&lt;MIN_ALL,SUMIF($C$8:$C$13,"正社員",X29:X34)&lt;MIN_FT),"要注意","OK")))</f>
        <v/>
      </c>
      <c r="Y20" s="27">
        <f>IF(Y$5="","",IF(Y$7="休業","－",IF(OR(Y19&lt;MIN_ALL,SUMIF($C$8:$C$13,"正社員",Y29:Y34)&lt;MIN_FT),"要注意","OK")))</f>
        <v/>
      </c>
      <c r="Z20" s="27">
        <f>IF(Z$5="","",IF(Z$7="休業","－",IF(OR(Z19&lt;MIN_ALL,SUMIF($C$8:$C$13,"正社員",Z29:Z34)&lt;MIN_FT),"要注意","OK")))</f>
        <v/>
      </c>
      <c r="AA20" s="27">
        <f>IF(AA$5="","",IF(AA$7="休業","－",IF(OR(AA19&lt;MIN_ALL,SUMIF($C$8:$C$13,"正社員",AA29:AA34)&lt;MIN_FT),"要注意","OK")))</f>
        <v/>
      </c>
      <c r="AB20" s="27">
        <f>IF(AB$5="","",IF(AB$7="休業","－",IF(OR(AB19&lt;MIN_ALL,SUMIF($C$8:$C$13,"正社員",AB29:AB34)&lt;MIN_FT),"要注意","OK")))</f>
        <v/>
      </c>
      <c r="AC20" s="27">
        <f>IF(AC$5="","",IF(AC$7="休業","－",IF(OR(AC19&lt;MIN_ALL,SUMIF($C$8:$C$13,"正社員",AC29:AC34)&lt;MIN_FT),"要注意","OK")))</f>
        <v/>
      </c>
      <c r="AD20" s="27">
        <f>IF(AD$5="","",IF(AD$7="休業","－",IF(OR(AD19&lt;MIN_ALL,SUMIF($C$8:$C$13,"正社員",AD29:AD34)&lt;MIN_FT),"要注意","OK")))</f>
        <v/>
      </c>
      <c r="AE20" s="27">
        <f>IF(AE$5="","",IF(AE$7="休業","－",IF(OR(AE19&lt;MIN_ALL,SUMIF($C$8:$C$13,"正社員",AE29:AE34)&lt;MIN_FT),"要注意","OK")))</f>
        <v/>
      </c>
      <c r="AF20" s="27">
        <f>IF(AF$5="","",IF(AF$7="休業","－",IF(OR(AF19&lt;MIN_ALL,SUMIF($C$8:$C$13,"正社員",AF29:AF34)&lt;MIN_FT),"要注意","OK")))</f>
        <v/>
      </c>
      <c r="AG20" s="27">
        <f>IF(AG$5="","",IF(AG$7="休業","－",IF(OR(AG19&lt;MIN_ALL,SUMIF($C$8:$C$13,"正社員",AG29:AG34)&lt;MIN_FT),"要注意","OK")))</f>
        <v/>
      </c>
      <c r="AH20" s="27">
        <f>IF(AH$5="","",IF(AH$7="休業","－",IF(OR(AH19&lt;MIN_ALL,SUMIF($C$8:$C$13,"正社員",AH29:AH34)&lt;MIN_FT),"要注意","OK")))</f>
        <v/>
      </c>
    </row>
    <row r="22">
      <c r="B22" s="28" t="inlineStr">
        <is>
          <t>自動計算エリア（出勤係数。編集不要）</t>
        </is>
      </c>
    </row>
    <row r="23">
      <c r="B23" s="29">
        <f>B8</f>
        <v/>
      </c>
      <c r="C23" s="30" t="inlineStr">
        <is>
          <t>承認済</t>
        </is>
      </c>
      <c r="D23" s="31">
        <f>IF(OR($B8="",D$5="",D$7="休業",D8="－"),"",IF(D8="",1,IFERROR(VLOOKUP(D8,SYM_TBL,3,0),1)))</f>
        <v/>
      </c>
      <c r="E23" s="31">
        <f>IF(OR($B8="",E$5="",E$7="休業",E8="－"),"",IF(E8="",1,IFERROR(VLOOKUP(E8,SYM_TBL,3,0),1)))</f>
        <v/>
      </c>
      <c r="F23" s="31">
        <f>IF(OR($B8="",F$5="",F$7="休業",F8="－"),"",IF(F8="",1,IFERROR(VLOOKUP(F8,SYM_TBL,3,0),1)))</f>
        <v/>
      </c>
      <c r="G23" s="31">
        <f>IF(OR($B8="",G$5="",G$7="休業",G8="－"),"",IF(G8="",1,IFERROR(VLOOKUP(G8,SYM_TBL,3,0),1)))</f>
        <v/>
      </c>
      <c r="H23" s="31">
        <f>IF(OR($B8="",H$5="",H$7="休業",H8="－"),"",IF(H8="",1,IFERROR(VLOOKUP(H8,SYM_TBL,3,0),1)))</f>
        <v/>
      </c>
      <c r="I23" s="31">
        <f>IF(OR($B8="",I$5="",I$7="休業",I8="－"),"",IF(I8="",1,IFERROR(VLOOKUP(I8,SYM_TBL,3,0),1)))</f>
        <v/>
      </c>
      <c r="J23" s="31">
        <f>IF(OR($B8="",J$5="",J$7="休業",J8="－"),"",IF(J8="",1,IFERROR(VLOOKUP(J8,SYM_TBL,3,0),1)))</f>
        <v/>
      </c>
      <c r="K23" s="31">
        <f>IF(OR($B8="",K$5="",K$7="休業",K8="－"),"",IF(K8="",1,IFERROR(VLOOKUP(K8,SYM_TBL,3,0),1)))</f>
        <v/>
      </c>
      <c r="L23" s="31">
        <f>IF(OR($B8="",L$5="",L$7="休業",L8="－"),"",IF(L8="",1,IFERROR(VLOOKUP(L8,SYM_TBL,3,0),1)))</f>
        <v/>
      </c>
      <c r="M23" s="31">
        <f>IF(OR($B8="",M$5="",M$7="休業",M8="－"),"",IF(M8="",1,IFERROR(VLOOKUP(M8,SYM_TBL,3,0),1)))</f>
        <v/>
      </c>
      <c r="N23" s="31">
        <f>IF(OR($B8="",N$5="",N$7="休業",N8="－"),"",IF(N8="",1,IFERROR(VLOOKUP(N8,SYM_TBL,3,0),1)))</f>
        <v/>
      </c>
      <c r="O23" s="31">
        <f>IF(OR($B8="",O$5="",O$7="休業",O8="－"),"",IF(O8="",1,IFERROR(VLOOKUP(O8,SYM_TBL,3,0),1)))</f>
        <v/>
      </c>
      <c r="P23" s="31">
        <f>IF(OR($B8="",P$5="",P$7="休業",P8="－"),"",IF(P8="",1,IFERROR(VLOOKUP(P8,SYM_TBL,3,0),1)))</f>
        <v/>
      </c>
      <c r="Q23" s="31">
        <f>IF(OR($B8="",Q$5="",Q$7="休業",Q8="－"),"",IF(Q8="",1,IFERROR(VLOOKUP(Q8,SYM_TBL,3,0),1)))</f>
        <v/>
      </c>
      <c r="R23" s="31">
        <f>IF(OR($B8="",R$5="",R$7="休業",R8="－"),"",IF(R8="",1,IFERROR(VLOOKUP(R8,SYM_TBL,3,0),1)))</f>
        <v/>
      </c>
      <c r="S23" s="31">
        <f>IF(OR($B8="",S$5="",S$7="休業",S8="－"),"",IF(S8="",1,IFERROR(VLOOKUP(S8,SYM_TBL,3,0),1)))</f>
        <v/>
      </c>
      <c r="T23" s="31">
        <f>IF(OR($B8="",T$5="",T$7="休業",T8="－"),"",IF(T8="",1,IFERROR(VLOOKUP(T8,SYM_TBL,3,0),1)))</f>
        <v/>
      </c>
      <c r="U23" s="31">
        <f>IF(OR($B8="",U$5="",U$7="休業",U8="－"),"",IF(U8="",1,IFERROR(VLOOKUP(U8,SYM_TBL,3,0),1)))</f>
        <v/>
      </c>
      <c r="V23" s="31">
        <f>IF(OR($B8="",V$5="",V$7="休業",V8="－"),"",IF(V8="",1,IFERROR(VLOOKUP(V8,SYM_TBL,3,0),1)))</f>
        <v/>
      </c>
      <c r="W23" s="31">
        <f>IF(OR($B8="",W$5="",W$7="休業",W8="－"),"",IF(W8="",1,IFERROR(VLOOKUP(W8,SYM_TBL,3,0),1)))</f>
        <v/>
      </c>
      <c r="X23" s="31">
        <f>IF(OR($B8="",X$5="",X$7="休業",X8="－"),"",IF(X8="",1,IFERROR(VLOOKUP(X8,SYM_TBL,3,0),1)))</f>
        <v/>
      </c>
      <c r="Y23" s="31">
        <f>IF(OR($B8="",Y$5="",Y$7="休業",Y8="－"),"",IF(Y8="",1,IFERROR(VLOOKUP(Y8,SYM_TBL,3,0),1)))</f>
        <v/>
      </c>
      <c r="Z23" s="31">
        <f>IF(OR($B8="",Z$5="",Z$7="休業",Z8="－"),"",IF(Z8="",1,IFERROR(VLOOKUP(Z8,SYM_TBL,3,0),1)))</f>
        <v/>
      </c>
      <c r="AA23" s="31">
        <f>IF(OR($B8="",AA$5="",AA$7="休業",AA8="－"),"",IF(AA8="",1,IFERROR(VLOOKUP(AA8,SYM_TBL,3,0),1)))</f>
        <v/>
      </c>
      <c r="AB23" s="31">
        <f>IF(OR($B8="",AB$5="",AB$7="休業",AB8="－"),"",IF(AB8="",1,IFERROR(VLOOKUP(AB8,SYM_TBL,3,0),1)))</f>
        <v/>
      </c>
      <c r="AC23" s="31">
        <f>IF(OR($B8="",AC$5="",AC$7="休業",AC8="－"),"",IF(AC8="",1,IFERROR(VLOOKUP(AC8,SYM_TBL,3,0),1)))</f>
        <v/>
      </c>
      <c r="AD23" s="31">
        <f>IF(OR($B8="",AD$5="",AD$7="休業",AD8="－"),"",IF(AD8="",1,IFERROR(VLOOKUP(AD8,SYM_TBL,3,0),1)))</f>
        <v/>
      </c>
      <c r="AE23" s="31">
        <f>IF(OR($B8="",AE$5="",AE$7="休業",AE8="－"),"",IF(AE8="",1,IFERROR(VLOOKUP(AE8,SYM_TBL,3,0),1)))</f>
        <v/>
      </c>
      <c r="AF23" s="31">
        <f>IF(OR($B8="",AF$5="",AF$7="休業",AF8="－"),"",IF(AF8="",1,IFERROR(VLOOKUP(AF8,SYM_TBL,3,0),1)))</f>
        <v/>
      </c>
      <c r="AG23" s="31">
        <f>IF(OR($B8="",AG$5="",AG$7="休業",AG8="－"),"",IF(AG8="",1,IFERROR(VLOOKUP(AG8,SYM_TBL,3,0),1)))</f>
        <v/>
      </c>
      <c r="AH23" s="31">
        <f>IF(OR($B8="",AH$5="",AH$7="休業",AH8="－"),"",IF(AH8="",1,IFERROR(VLOOKUP(AH8,SYM_TBL,3,0),1)))</f>
        <v/>
      </c>
    </row>
    <row r="24">
      <c r="B24" s="29">
        <f>B9</f>
        <v/>
      </c>
      <c r="C24" s="30" t="inlineStr">
        <is>
          <t>承認済</t>
        </is>
      </c>
      <c r="D24" s="31">
        <f>IF(OR($B9="",D$5="",D$7="休業",D9="－"),"",IF(D9="",1,IFERROR(VLOOKUP(D9,SYM_TBL,3,0),1)))</f>
        <v/>
      </c>
      <c r="E24" s="31">
        <f>IF(OR($B9="",E$5="",E$7="休業",E9="－"),"",IF(E9="",1,IFERROR(VLOOKUP(E9,SYM_TBL,3,0),1)))</f>
        <v/>
      </c>
      <c r="F24" s="31">
        <f>IF(OR($B9="",F$5="",F$7="休業",F9="－"),"",IF(F9="",1,IFERROR(VLOOKUP(F9,SYM_TBL,3,0),1)))</f>
        <v/>
      </c>
      <c r="G24" s="31">
        <f>IF(OR($B9="",G$5="",G$7="休業",G9="－"),"",IF(G9="",1,IFERROR(VLOOKUP(G9,SYM_TBL,3,0),1)))</f>
        <v/>
      </c>
      <c r="H24" s="31">
        <f>IF(OR($B9="",H$5="",H$7="休業",H9="－"),"",IF(H9="",1,IFERROR(VLOOKUP(H9,SYM_TBL,3,0),1)))</f>
        <v/>
      </c>
      <c r="I24" s="31">
        <f>IF(OR($B9="",I$5="",I$7="休業",I9="－"),"",IF(I9="",1,IFERROR(VLOOKUP(I9,SYM_TBL,3,0),1)))</f>
        <v/>
      </c>
      <c r="J24" s="31">
        <f>IF(OR($B9="",J$5="",J$7="休業",J9="－"),"",IF(J9="",1,IFERROR(VLOOKUP(J9,SYM_TBL,3,0),1)))</f>
        <v/>
      </c>
      <c r="K24" s="31">
        <f>IF(OR($B9="",K$5="",K$7="休業",K9="－"),"",IF(K9="",1,IFERROR(VLOOKUP(K9,SYM_TBL,3,0),1)))</f>
        <v/>
      </c>
      <c r="L24" s="31">
        <f>IF(OR($B9="",L$5="",L$7="休業",L9="－"),"",IF(L9="",1,IFERROR(VLOOKUP(L9,SYM_TBL,3,0),1)))</f>
        <v/>
      </c>
      <c r="M24" s="31">
        <f>IF(OR($B9="",M$5="",M$7="休業",M9="－"),"",IF(M9="",1,IFERROR(VLOOKUP(M9,SYM_TBL,3,0),1)))</f>
        <v/>
      </c>
      <c r="N24" s="31">
        <f>IF(OR($B9="",N$5="",N$7="休業",N9="－"),"",IF(N9="",1,IFERROR(VLOOKUP(N9,SYM_TBL,3,0),1)))</f>
        <v/>
      </c>
      <c r="O24" s="31">
        <f>IF(OR($B9="",O$5="",O$7="休業",O9="－"),"",IF(O9="",1,IFERROR(VLOOKUP(O9,SYM_TBL,3,0),1)))</f>
        <v/>
      </c>
      <c r="P24" s="31">
        <f>IF(OR($B9="",P$5="",P$7="休業",P9="－"),"",IF(P9="",1,IFERROR(VLOOKUP(P9,SYM_TBL,3,0),1)))</f>
        <v/>
      </c>
      <c r="Q24" s="31">
        <f>IF(OR($B9="",Q$5="",Q$7="休業",Q9="－"),"",IF(Q9="",1,IFERROR(VLOOKUP(Q9,SYM_TBL,3,0),1)))</f>
        <v/>
      </c>
      <c r="R24" s="31">
        <f>IF(OR($B9="",R$5="",R$7="休業",R9="－"),"",IF(R9="",1,IFERROR(VLOOKUP(R9,SYM_TBL,3,0),1)))</f>
        <v/>
      </c>
      <c r="S24" s="31">
        <f>IF(OR($B9="",S$5="",S$7="休業",S9="－"),"",IF(S9="",1,IFERROR(VLOOKUP(S9,SYM_TBL,3,0),1)))</f>
        <v/>
      </c>
      <c r="T24" s="31">
        <f>IF(OR($B9="",T$5="",T$7="休業",T9="－"),"",IF(T9="",1,IFERROR(VLOOKUP(T9,SYM_TBL,3,0),1)))</f>
        <v/>
      </c>
      <c r="U24" s="31">
        <f>IF(OR($B9="",U$5="",U$7="休業",U9="－"),"",IF(U9="",1,IFERROR(VLOOKUP(U9,SYM_TBL,3,0),1)))</f>
        <v/>
      </c>
      <c r="V24" s="31">
        <f>IF(OR($B9="",V$5="",V$7="休業",V9="－"),"",IF(V9="",1,IFERROR(VLOOKUP(V9,SYM_TBL,3,0),1)))</f>
        <v/>
      </c>
      <c r="W24" s="31">
        <f>IF(OR($B9="",W$5="",W$7="休業",W9="－"),"",IF(W9="",1,IFERROR(VLOOKUP(W9,SYM_TBL,3,0),1)))</f>
        <v/>
      </c>
      <c r="X24" s="31">
        <f>IF(OR($B9="",X$5="",X$7="休業",X9="－"),"",IF(X9="",1,IFERROR(VLOOKUP(X9,SYM_TBL,3,0),1)))</f>
        <v/>
      </c>
      <c r="Y24" s="31">
        <f>IF(OR($B9="",Y$5="",Y$7="休業",Y9="－"),"",IF(Y9="",1,IFERROR(VLOOKUP(Y9,SYM_TBL,3,0),1)))</f>
        <v/>
      </c>
      <c r="Z24" s="31">
        <f>IF(OR($B9="",Z$5="",Z$7="休業",Z9="－"),"",IF(Z9="",1,IFERROR(VLOOKUP(Z9,SYM_TBL,3,0),1)))</f>
        <v/>
      </c>
      <c r="AA24" s="31">
        <f>IF(OR($B9="",AA$5="",AA$7="休業",AA9="－"),"",IF(AA9="",1,IFERROR(VLOOKUP(AA9,SYM_TBL,3,0),1)))</f>
        <v/>
      </c>
      <c r="AB24" s="31">
        <f>IF(OR($B9="",AB$5="",AB$7="休業",AB9="－"),"",IF(AB9="",1,IFERROR(VLOOKUP(AB9,SYM_TBL,3,0),1)))</f>
        <v/>
      </c>
      <c r="AC24" s="31">
        <f>IF(OR($B9="",AC$5="",AC$7="休業",AC9="－"),"",IF(AC9="",1,IFERROR(VLOOKUP(AC9,SYM_TBL,3,0),1)))</f>
        <v/>
      </c>
      <c r="AD24" s="31">
        <f>IF(OR($B9="",AD$5="",AD$7="休業",AD9="－"),"",IF(AD9="",1,IFERROR(VLOOKUP(AD9,SYM_TBL,3,0),1)))</f>
        <v/>
      </c>
      <c r="AE24" s="31">
        <f>IF(OR($B9="",AE$5="",AE$7="休業",AE9="－"),"",IF(AE9="",1,IFERROR(VLOOKUP(AE9,SYM_TBL,3,0),1)))</f>
        <v/>
      </c>
      <c r="AF24" s="31">
        <f>IF(OR($B9="",AF$5="",AF$7="休業",AF9="－"),"",IF(AF9="",1,IFERROR(VLOOKUP(AF9,SYM_TBL,3,0),1)))</f>
        <v/>
      </c>
      <c r="AG24" s="31">
        <f>IF(OR($B9="",AG$5="",AG$7="休業",AG9="－"),"",IF(AG9="",1,IFERROR(VLOOKUP(AG9,SYM_TBL,3,0),1)))</f>
        <v/>
      </c>
      <c r="AH24" s="31">
        <f>IF(OR($B9="",AH$5="",AH$7="休業",AH9="－"),"",IF(AH9="",1,IFERROR(VLOOKUP(AH9,SYM_TBL,3,0),1)))</f>
        <v/>
      </c>
    </row>
    <row r="25">
      <c r="B25" s="29">
        <f>B10</f>
        <v/>
      </c>
      <c r="C25" s="30" t="inlineStr">
        <is>
          <t>承認済</t>
        </is>
      </c>
      <c r="D25" s="31">
        <f>IF(OR($B10="",D$5="",D$7="休業",D10="－"),"",IF(D10="",1,IFERROR(VLOOKUP(D10,SYM_TBL,3,0),1)))</f>
        <v/>
      </c>
      <c r="E25" s="31">
        <f>IF(OR($B10="",E$5="",E$7="休業",E10="－"),"",IF(E10="",1,IFERROR(VLOOKUP(E10,SYM_TBL,3,0),1)))</f>
        <v/>
      </c>
      <c r="F25" s="31">
        <f>IF(OR($B10="",F$5="",F$7="休業",F10="－"),"",IF(F10="",1,IFERROR(VLOOKUP(F10,SYM_TBL,3,0),1)))</f>
        <v/>
      </c>
      <c r="G25" s="31">
        <f>IF(OR($B10="",G$5="",G$7="休業",G10="－"),"",IF(G10="",1,IFERROR(VLOOKUP(G10,SYM_TBL,3,0),1)))</f>
        <v/>
      </c>
      <c r="H25" s="31">
        <f>IF(OR($B10="",H$5="",H$7="休業",H10="－"),"",IF(H10="",1,IFERROR(VLOOKUP(H10,SYM_TBL,3,0),1)))</f>
        <v/>
      </c>
      <c r="I25" s="31">
        <f>IF(OR($B10="",I$5="",I$7="休業",I10="－"),"",IF(I10="",1,IFERROR(VLOOKUP(I10,SYM_TBL,3,0),1)))</f>
        <v/>
      </c>
      <c r="J25" s="31">
        <f>IF(OR($B10="",J$5="",J$7="休業",J10="－"),"",IF(J10="",1,IFERROR(VLOOKUP(J10,SYM_TBL,3,0),1)))</f>
        <v/>
      </c>
      <c r="K25" s="31">
        <f>IF(OR($B10="",K$5="",K$7="休業",K10="－"),"",IF(K10="",1,IFERROR(VLOOKUP(K10,SYM_TBL,3,0),1)))</f>
        <v/>
      </c>
      <c r="L25" s="31">
        <f>IF(OR($B10="",L$5="",L$7="休業",L10="－"),"",IF(L10="",1,IFERROR(VLOOKUP(L10,SYM_TBL,3,0),1)))</f>
        <v/>
      </c>
      <c r="M25" s="31">
        <f>IF(OR($B10="",M$5="",M$7="休業",M10="－"),"",IF(M10="",1,IFERROR(VLOOKUP(M10,SYM_TBL,3,0),1)))</f>
        <v/>
      </c>
      <c r="N25" s="31">
        <f>IF(OR($B10="",N$5="",N$7="休業",N10="－"),"",IF(N10="",1,IFERROR(VLOOKUP(N10,SYM_TBL,3,0),1)))</f>
        <v/>
      </c>
      <c r="O25" s="31">
        <f>IF(OR($B10="",O$5="",O$7="休業",O10="－"),"",IF(O10="",1,IFERROR(VLOOKUP(O10,SYM_TBL,3,0),1)))</f>
        <v/>
      </c>
      <c r="P25" s="31">
        <f>IF(OR($B10="",P$5="",P$7="休業",P10="－"),"",IF(P10="",1,IFERROR(VLOOKUP(P10,SYM_TBL,3,0),1)))</f>
        <v/>
      </c>
      <c r="Q25" s="31">
        <f>IF(OR($B10="",Q$5="",Q$7="休業",Q10="－"),"",IF(Q10="",1,IFERROR(VLOOKUP(Q10,SYM_TBL,3,0),1)))</f>
        <v/>
      </c>
      <c r="R25" s="31">
        <f>IF(OR($B10="",R$5="",R$7="休業",R10="－"),"",IF(R10="",1,IFERROR(VLOOKUP(R10,SYM_TBL,3,0),1)))</f>
        <v/>
      </c>
      <c r="S25" s="31">
        <f>IF(OR($B10="",S$5="",S$7="休業",S10="－"),"",IF(S10="",1,IFERROR(VLOOKUP(S10,SYM_TBL,3,0),1)))</f>
        <v/>
      </c>
      <c r="T25" s="31">
        <f>IF(OR($B10="",T$5="",T$7="休業",T10="－"),"",IF(T10="",1,IFERROR(VLOOKUP(T10,SYM_TBL,3,0),1)))</f>
        <v/>
      </c>
      <c r="U25" s="31">
        <f>IF(OR($B10="",U$5="",U$7="休業",U10="－"),"",IF(U10="",1,IFERROR(VLOOKUP(U10,SYM_TBL,3,0),1)))</f>
        <v/>
      </c>
      <c r="V25" s="31">
        <f>IF(OR($B10="",V$5="",V$7="休業",V10="－"),"",IF(V10="",1,IFERROR(VLOOKUP(V10,SYM_TBL,3,0),1)))</f>
        <v/>
      </c>
      <c r="W25" s="31">
        <f>IF(OR($B10="",W$5="",W$7="休業",W10="－"),"",IF(W10="",1,IFERROR(VLOOKUP(W10,SYM_TBL,3,0),1)))</f>
        <v/>
      </c>
      <c r="X25" s="31">
        <f>IF(OR($B10="",X$5="",X$7="休業",X10="－"),"",IF(X10="",1,IFERROR(VLOOKUP(X10,SYM_TBL,3,0),1)))</f>
        <v/>
      </c>
      <c r="Y25" s="31">
        <f>IF(OR($B10="",Y$5="",Y$7="休業",Y10="－"),"",IF(Y10="",1,IFERROR(VLOOKUP(Y10,SYM_TBL,3,0),1)))</f>
        <v/>
      </c>
      <c r="Z25" s="31">
        <f>IF(OR($B10="",Z$5="",Z$7="休業",Z10="－"),"",IF(Z10="",1,IFERROR(VLOOKUP(Z10,SYM_TBL,3,0),1)))</f>
        <v/>
      </c>
      <c r="AA25" s="31">
        <f>IF(OR($B10="",AA$5="",AA$7="休業",AA10="－"),"",IF(AA10="",1,IFERROR(VLOOKUP(AA10,SYM_TBL,3,0),1)))</f>
        <v/>
      </c>
      <c r="AB25" s="31">
        <f>IF(OR($B10="",AB$5="",AB$7="休業",AB10="－"),"",IF(AB10="",1,IFERROR(VLOOKUP(AB10,SYM_TBL,3,0),1)))</f>
        <v/>
      </c>
      <c r="AC25" s="31">
        <f>IF(OR($B10="",AC$5="",AC$7="休業",AC10="－"),"",IF(AC10="",1,IFERROR(VLOOKUP(AC10,SYM_TBL,3,0),1)))</f>
        <v/>
      </c>
      <c r="AD25" s="31">
        <f>IF(OR($B10="",AD$5="",AD$7="休業",AD10="－"),"",IF(AD10="",1,IFERROR(VLOOKUP(AD10,SYM_TBL,3,0),1)))</f>
        <v/>
      </c>
      <c r="AE25" s="31">
        <f>IF(OR($B10="",AE$5="",AE$7="休業",AE10="－"),"",IF(AE10="",1,IFERROR(VLOOKUP(AE10,SYM_TBL,3,0),1)))</f>
        <v/>
      </c>
      <c r="AF25" s="31">
        <f>IF(OR($B10="",AF$5="",AF$7="休業",AF10="－"),"",IF(AF10="",1,IFERROR(VLOOKUP(AF10,SYM_TBL,3,0),1)))</f>
        <v/>
      </c>
      <c r="AG25" s="31">
        <f>IF(OR($B10="",AG$5="",AG$7="休業",AG10="－"),"",IF(AG10="",1,IFERROR(VLOOKUP(AG10,SYM_TBL,3,0),1)))</f>
        <v/>
      </c>
      <c r="AH25" s="31">
        <f>IF(OR($B10="",AH$5="",AH$7="休業",AH10="－"),"",IF(AH10="",1,IFERROR(VLOOKUP(AH10,SYM_TBL,3,0),1)))</f>
        <v/>
      </c>
    </row>
    <row r="26">
      <c r="B26" s="29">
        <f>B11</f>
        <v/>
      </c>
      <c r="C26" s="30" t="inlineStr">
        <is>
          <t>承認済</t>
        </is>
      </c>
      <c r="D26" s="31">
        <f>IF(OR($B11="",D$5="",D$7="休業",D11="－"),"",IF(D11="",1,IFERROR(VLOOKUP(D11,SYM_TBL,3,0),1)))</f>
        <v/>
      </c>
      <c r="E26" s="31">
        <f>IF(OR($B11="",E$5="",E$7="休業",E11="－"),"",IF(E11="",1,IFERROR(VLOOKUP(E11,SYM_TBL,3,0),1)))</f>
        <v/>
      </c>
      <c r="F26" s="31">
        <f>IF(OR($B11="",F$5="",F$7="休業",F11="－"),"",IF(F11="",1,IFERROR(VLOOKUP(F11,SYM_TBL,3,0),1)))</f>
        <v/>
      </c>
      <c r="G26" s="31">
        <f>IF(OR($B11="",G$5="",G$7="休業",G11="－"),"",IF(G11="",1,IFERROR(VLOOKUP(G11,SYM_TBL,3,0),1)))</f>
        <v/>
      </c>
      <c r="H26" s="31">
        <f>IF(OR($B11="",H$5="",H$7="休業",H11="－"),"",IF(H11="",1,IFERROR(VLOOKUP(H11,SYM_TBL,3,0),1)))</f>
        <v/>
      </c>
      <c r="I26" s="31">
        <f>IF(OR($B11="",I$5="",I$7="休業",I11="－"),"",IF(I11="",1,IFERROR(VLOOKUP(I11,SYM_TBL,3,0),1)))</f>
        <v/>
      </c>
      <c r="J26" s="31">
        <f>IF(OR($B11="",J$5="",J$7="休業",J11="－"),"",IF(J11="",1,IFERROR(VLOOKUP(J11,SYM_TBL,3,0),1)))</f>
        <v/>
      </c>
      <c r="K26" s="31">
        <f>IF(OR($B11="",K$5="",K$7="休業",K11="－"),"",IF(K11="",1,IFERROR(VLOOKUP(K11,SYM_TBL,3,0),1)))</f>
        <v/>
      </c>
      <c r="L26" s="31">
        <f>IF(OR($B11="",L$5="",L$7="休業",L11="－"),"",IF(L11="",1,IFERROR(VLOOKUP(L11,SYM_TBL,3,0),1)))</f>
        <v/>
      </c>
      <c r="M26" s="31">
        <f>IF(OR($B11="",M$5="",M$7="休業",M11="－"),"",IF(M11="",1,IFERROR(VLOOKUP(M11,SYM_TBL,3,0),1)))</f>
        <v/>
      </c>
      <c r="N26" s="31">
        <f>IF(OR($B11="",N$5="",N$7="休業",N11="－"),"",IF(N11="",1,IFERROR(VLOOKUP(N11,SYM_TBL,3,0),1)))</f>
        <v/>
      </c>
      <c r="O26" s="31">
        <f>IF(OR($B11="",O$5="",O$7="休業",O11="－"),"",IF(O11="",1,IFERROR(VLOOKUP(O11,SYM_TBL,3,0),1)))</f>
        <v/>
      </c>
      <c r="P26" s="31">
        <f>IF(OR($B11="",P$5="",P$7="休業",P11="－"),"",IF(P11="",1,IFERROR(VLOOKUP(P11,SYM_TBL,3,0),1)))</f>
        <v/>
      </c>
      <c r="Q26" s="31">
        <f>IF(OR($B11="",Q$5="",Q$7="休業",Q11="－"),"",IF(Q11="",1,IFERROR(VLOOKUP(Q11,SYM_TBL,3,0),1)))</f>
        <v/>
      </c>
      <c r="R26" s="31">
        <f>IF(OR($B11="",R$5="",R$7="休業",R11="－"),"",IF(R11="",1,IFERROR(VLOOKUP(R11,SYM_TBL,3,0),1)))</f>
        <v/>
      </c>
      <c r="S26" s="31">
        <f>IF(OR($B11="",S$5="",S$7="休業",S11="－"),"",IF(S11="",1,IFERROR(VLOOKUP(S11,SYM_TBL,3,0),1)))</f>
        <v/>
      </c>
      <c r="T26" s="31">
        <f>IF(OR($B11="",T$5="",T$7="休業",T11="－"),"",IF(T11="",1,IFERROR(VLOOKUP(T11,SYM_TBL,3,0),1)))</f>
        <v/>
      </c>
      <c r="U26" s="31">
        <f>IF(OR($B11="",U$5="",U$7="休業",U11="－"),"",IF(U11="",1,IFERROR(VLOOKUP(U11,SYM_TBL,3,0),1)))</f>
        <v/>
      </c>
      <c r="V26" s="31">
        <f>IF(OR($B11="",V$5="",V$7="休業",V11="－"),"",IF(V11="",1,IFERROR(VLOOKUP(V11,SYM_TBL,3,0),1)))</f>
        <v/>
      </c>
      <c r="W26" s="31">
        <f>IF(OR($B11="",W$5="",W$7="休業",W11="－"),"",IF(W11="",1,IFERROR(VLOOKUP(W11,SYM_TBL,3,0),1)))</f>
        <v/>
      </c>
      <c r="X26" s="31">
        <f>IF(OR($B11="",X$5="",X$7="休業",X11="－"),"",IF(X11="",1,IFERROR(VLOOKUP(X11,SYM_TBL,3,0),1)))</f>
        <v/>
      </c>
      <c r="Y26" s="31">
        <f>IF(OR($B11="",Y$5="",Y$7="休業",Y11="－"),"",IF(Y11="",1,IFERROR(VLOOKUP(Y11,SYM_TBL,3,0),1)))</f>
        <v/>
      </c>
      <c r="Z26" s="31">
        <f>IF(OR($B11="",Z$5="",Z$7="休業",Z11="－"),"",IF(Z11="",1,IFERROR(VLOOKUP(Z11,SYM_TBL,3,0),1)))</f>
        <v/>
      </c>
      <c r="AA26" s="31">
        <f>IF(OR($B11="",AA$5="",AA$7="休業",AA11="－"),"",IF(AA11="",1,IFERROR(VLOOKUP(AA11,SYM_TBL,3,0),1)))</f>
        <v/>
      </c>
      <c r="AB26" s="31">
        <f>IF(OR($B11="",AB$5="",AB$7="休業",AB11="－"),"",IF(AB11="",1,IFERROR(VLOOKUP(AB11,SYM_TBL,3,0),1)))</f>
        <v/>
      </c>
      <c r="AC26" s="31">
        <f>IF(OR($B11="",AC$5="",AC$7="休業",AC11="－"),"",IF(AC11="",1,IFERROR(VLOOKUP(AC11,SYM_TBL,3,0),1)))</f>
        <v/>
      </c>
      <c r="AD26" s="31">
        <f>IF(OR($B11="",AD$5="",AD$7="休業",AD11="－"),"",IF(AD11="",1,IFERROR(VLOOKUP(AD11,SYM_TBL,3,0),1)))</f>
        <v/>
      </c>
      <c r="AE26" s="31">
        <f>IF(OR($B11="",AE$5="",AE$7="休業",AE11="－"),"",IF(AE11="",1,IFERROR(VLOOKUP(AE11,SYM_TBL,3,0),1)))</f>
        <v/>
      </c>
      <c r="AF26" s="31">
        <f>IF(OR($B11="",AF$5="",AF$7="休業",AF11="－"),"",IF(AF11="",1,IFERROR(VLOOKUP(AF11,SYM_TBL,3,0),1)))</f>
        <v/>
      </c>
      <c r="AG26" s="31">
        <f>IF(OR($B11="",AG$5="",AG$7="休業",AG11="－"),"",IF(AG11="",1,IFERROR(VLOOKUP(AG11,SYM_TBL,3,0),1)))</f>
        <v/>
      </c>
      <c r="AH26" s="31">
        <f>IF(OR($B11="",AH$5="",AH$7="休業",AH11="－"),"",IF(AH11="",1,IFERROR(VLOOKUP(AH11,SYM_TBL,3,0),1)))</f>
        <v/>
      </c>
    </row>
    <row r="27">
      <c r="B27" s="29">
        <f>B12</f>
        <v/>
      </c>
      <c r="C27" s="30" t="inlineStr">
        <is>
          <t>承認済</t>
        </is>
      </c>
      <c r="D27" s="31">
        <f>IF(OR($B12="",D$5="",D$7="休業",D12="－"),"",IF(D12="",1,IFERROR(VLOOKUP(D12,SYM_TBL,3,0),1)))</f>
        <v/>
      </c>
      <c r="E27" s="31">
        <f>IF(OR($B12="",E$5="",E$7="休業",E12="－"),"",IF(E12="",1,IFERROR(VLOOKUP(E12,SYM_TBL,3,0),1)))</f>
        <v/>
      </c>
      <c r="F27" s="31">
        <f>IF(OR($B12="",F$5="",F$7="休業",F12="－"),"",IF(F12="",1,IFERROR(VLOOKUP(F12,SYM_TBL,3,0),1)))</f>
        <v/>
      </c>
      <c r="G27" s="31">
        <f>IF(OR($B12="",G$5="",G$7="休業",G12="－"),"",IF(G12="",1,IFERROR(VLOOKUP(G12,SYM_TBL,3,0),1)))</f>
        <v/>
      </c>
      <c r="H27" s="31">
        <f>IF(OR($B12="",H$5="",H$7="休業",H12="－"),"",IF(H12="",1,IFERROR(VLOOKUP(H12,SYM_TBL,3,0),1)))</f>
        <v/>
      </c>
      <c r="I27" s="31">
        <f>IF(OR($B12="",I$5="",I$7="休業",I12="－"),"",IF(I12="",1,IFERROR(VLOOKUP(I12,SYM_TBL,3,0),1)))</f>
        <v/>
      </c>
      <c r="J27" s="31">
        <f>IF(OR($B12="",J$5="",J$7="休業",J12="－"),"",IF(J12="",1,IFERROR(VLOOKUP(J12,SYM_TBL,3,0),1)))</f>
        <v/>
      </c>
      <c r="K27" s="31">
        <f>IF(OR($B12="",K$5="",K$7="休業",K12="－"),"",IF(K12="",1,IFERROR(VLOOKUP(K12,SYM_TBL,3,0),1)))</f>
        <v/>
      </c>
      <c r="L27" s="31">
        <f>IF(OR($B12="",L$5="",L$7="休業",L12="－"),"",IF(L12="",1,IFERROR(VLOOKUP(L12,SYM_TBL,3,0),1)))</f>
        <v/>
      </c>
      <c r="M27" s="31">
        <f>IF(OR($B12="",M$5="",M$7="休業",M12="－"),"",IF(M12="",1,IFERROR(VLOOKUP(M12,SYM_TBL,3,0),1)))</f>
        <v/>
      </c>
      <c r="N27" s="31">
        <f>IF(OR($B12="",N$5="",N$7="休業",N12="－"),"",IF(N12="",1,IFERROR(VLOOKUP(N12,SYM_TBL,3,0),1)))</f>
        <v/>
      </c>
      <c r="O27" s="31">
        <f>IF(OR($B12="",O$5="",O$7="休業",O12="－"),"",IF(O12="",1,IFERROR(VLOOKUP(O12,SYM_TBL,3,0),1)))</f>
        <v/>
      </c>
      <c r="P27" s="31">
        <f>IF(OR($B12="",P$5="",P$7="休業",P12="－"),"",IF(P12="",1,IFERROR(VLOOKUP(P12,SYM_TBL,3,0),1)))</f>
        <v/>
      </c>
      <c r="Q27" s="31">
        <f>IF(OR($B12="",Q$5="",Q$7="休業",Q12="－"),"",IF(Q12="",1,IFERROR(VLOOKUP(Q12,SYM_TBL,3,0),1)))</f>
        <v/>
      </c>
      <c r="R27" s="31">
        <f>IF(OR($B12="",R$5="",R$7="休業",R12="－"),"",IF(R12="",1,IFERROR(VLOOKUP(R12,SYM_TBL,3,0),1)))</f>
        <v/>
      </c>
      <c r="S27" s="31">
        <f>IF(OR($B12="",S$5="",S$7="休業",S12="－"),"",IF(S12="",1,IFERROR(VLOOKUP(S12,SYM_TBL,3,0),1)))</f>
        <v/>
      </c>
      <c r="T27" s="31">
        <f>IF(OR($B12="",T$5="",T$7="休業",T12="－"),"",IF(T12="",1,IFERROR(VLOOKUP(T12,SYM_TBL,3,0),1)))</f>
        <v/>
      </c>
      <c r="U27" s="31">
        <f>IF(OR($B12="",U$5="",U$7="休業",U12="－"),"",IF(U12="",1,IFERROR(VLOOKUP(U12,SYM_TBL,3,0),1)))</f>
        <v/>
      </c>
      <c r="V27" s="31">
        <f>IF(OR($B12="",V$5="",V$7="休業",V12="－"),"",IF(V12="",1,IFERROR(VLOOKUP(V12,SYM_TBL,3,0),1)))</f>
        <v/>
      </c>
      <c r="W27" s="31">
        <f>IF(OR($B12="",W$5="",W$7="休業",W12="－"),"",IF(W12="",1,IFERROR(VLOOKUP(W12,SYM_TBL,3,0),1)))</f>
        <v/>
      </c>
      <c r="X27" s="31">
        <f>IF(OR($B12="",X$5="",X$7="休業",X12="－"),"",IF(X12="",1,IFERROR(VLOOKUP(X12,SYM_TBL,3,0),1)))</f>
        <v/>
      </c>
      <c r="Y27" s="31">
        <f>IF(OR($B12="",Y$5="",Y$7="休業",Y12="－"),"",IF(Y12="",1,IFERROR(VLOOKUP(Y12,SYM_TBL,3,0),1)))</f>
        <v/>
      </c>
      <c r="Z27" s="31">
        <f>IF(OR($B12="",Z$5="",Z$7="休業",Z12="－"),"",IF(Z12="",1,IFERROR(VLOOKUP(Z12,SYM_TBL,3,0),1)))</f>
        <v/>
      </c>
      <c r="AA27" s="31">
        <f>IF(OR($B12="",AA$5="",AA$7="休業",AA12="－"),"",IF(AA12="",1,IFERROR(VLOOKUP(AA12,SYM_TBL,3,0),1)))</f>
        <v/>
      </c>
      <c r="AB27" s="31">
        <f>IF(OR($B12="",AB$5="",AB$7="休業",AB12="－"),"",IF(AB12="",1,IFERROR(VLOOKUP(AB12,SYM_TBL,3,0),1)))</f>
        <v/>
      </c>
      <c r="AC27" s="31">
        <f>IF(OR($B12="",AC$5="",AC$7="休業",AC12="－"),"",IF(AC12="",1,IFERROR(VLOOKUP(AC12,SYM_TBL,3,0),1)))</f>
        <v/>
      </c>
      <c r="AD27" s="31">
        <f>IF(OR($B12="",AD$5="",AD$7="休業",AD12="－"),"",IF(AD12="",1,IFERROR(VLOOKUP(AD12,SYM_TBL,3,0),1)))</f>
        <v/>
      </c>
      <c r="AE27" s="31">
        <f>IF(OR($B12="",AE$5="",AE$7="休業",AE12="－"),"",IF(AE12="",1,IFERROR(VLOOKUP(AE12,SYM_TBL,3,0),1)))</f>
        <v/>
      </c>
      <c r="AF27" s="31">
        <f>IF(OR($B12="",AF$5="",AF$7="休業",AF12="－"),"",IF(AF12="",1,IFERROR(VLOOKUP(AF12,SYM_TBL,3,0),1)))</f>
        <v/>
      </c>
      <c r="AG27" s="31">
        <f>IF(OR($B12="",AG$5="",AG$7="休業",AG12="－"),"",IF(AG12="",1,IFERROR(VLOOKUP(AG12,SYM_TBL,3,0),1)))</f>
        <v/>
      </c>
      <c r="AH27" s="31">
        <f>IF(OR($B12="",AH$5="",AH$7="休業",AH12="－"),"",IF(AH12="",1,IFERROR(VLOOKUP(AH12,SYM_TBL,3,0),1)))</f>
        <v/>
      </c>
    </row>
    <row r="28">
      <c r="B28" s="29">
        <f>B13</f>
        <v/>
      </c>
      <c r="C28" s="30" t="inlineStr">
        <is>
          <t>承認済</t>
        </is>
      </c>
      <c r="D28" s="31">
        <f>IF(OR($B13="",D$5="",D$7="休業",D13="－"),"",IF(D13="",1,IFERROR(VLOOKUP(D13,SYM_TBL,3,0),1)))</f>
        <v/>
      </c>
      <c r="E28" s="31">
        <f>IF(OR($B13="",E$5="",E$7="休業",E13="－"),"",IF(E13="",1,IFERROR(VLOOKUP(E13,SYM_TBL,3,0),1)))</f>
        <v/>
      </c>
      <c r="F28" s="31">
        <f>IF(OR($B13="",F$5="",F$7="休業",F13="－"),"",IF(F13="",1,IFERROR(VLOOKUP(F13,SYM_TBL,3,0),1)))</f>
        <v/>
      </c>
      <c r="G28" s="31">
        <f>IF(OR($B13="",G$5="",G$7="休業",G13="－"),"",IF(G13="",1,IFERROR(VLOOKUP(G13,SYM_TBL,3,0),1)))</f>
        <v/>
      </c>
      <c r="H28" s="31">
        <f>IF(OR($B13="",H$5="",H$7="休業",H13="－"),"",IF(H13="",1,IFERROR(VLOOKUP(H13,SYM_TBL,3,0),1)))</f>
        <v/>
      </c>
      <c r="I28" s="31">
        <f>IF(OR($B13="",I$5="",I$7="休業",I13="－"),"",IF(I13="",1,IFERROR(VLOOKUP(I13,SYM_TBL,3,0),1)))</f>
        <v/>
      </c>
      <c r="J28" s="31">
        <f>IF(OR($B13="",J$5="",J$7="休業",J13="－"),"",IF(J13="",1,IFERROR(VLOOKUP(J13,SYM_TBL,3,0),1)))</f>
        <v/>
      </c>
      <c r="K28" s="31">
        <f>IF(OR($B13="",K$5="",K$7="休業",K13="－"),"",IF(K13="",1,IFERROR(VLOOKUP(K13,SYM_TBL,3,0),1)))</f>
        <v/>
      </c>
      <c r="L28" s="31">
        <f>IF(OR($B13="",L$5="",L$7="休業",L13="－"),"",IF(L13="",1,IFERROR(VLOOKUP(L13,SYM_TBL,3,0),1)))</f>
        <v/>
      </c>
      <c r="M28" s="31">
        <f>IF(OR($B13="",M$5="",M$7="休業",M13="－"),"",IF(M13="",1,IFERROR(VLOOKUP(M13,SYM_TBL,3,0),1)))</f>
        <v/>
      </c>
      <c r="N28" s="31">
        <f>IF(OR($B13="",N$5="",N$7="休業",N13="－"),"",IF(N13="",1,IFERROR(VLOOKUP(N13,SYM_TBL,3,0),1)))</f>
        <v/>
      </c>
      <c r="O28" s="31">
        <f>IF(OR($B13="",O$5="",O$7="休業",O13="－"),"",IF(O13="",1,IFERROR(VLOOKUP(O13,SYM_TBL,3,0),1)))</f>
        <v/>
      </c>
      <c r="P28" s="31">
        <f>IF(OR($B13="",P$5="",P$7="休業",P13="－"),"",IF(P13="",1,IFERROR(VLOOKUP(P13,SYM_TBL,3,0),1)))</f>
        <v/>
      </c>
      <c r="Q28" s="31">
        <f>IF(OR($B13="",Q$5="",Q$7="休業",Q13="－"),"",IF(Q13="",1,IFERROR(VLOOKUP(Q13,SYM_TBL,3,0),1)))</f>
        <v/>
      </c>
      <c r="R28" s="31">
        <f>IF(OR($B13="",R$5="",R$7="休業",R13="－"),"",IF(R13="",1,IFERROR(VLOOKUP(R13,SYM_TBL,3,0),1)))</f>
        <v/>
      </c>
      <c r="S28" s="31">
        <f>IF(OR($B13="",S$5="",S$7="休業",S13="－"),"",IF(S13="",1,IFERROR(VLOOKUP(S13,SYM_TBL,3,0),1)))</f>
        <v/>
      </c>
      <c r="T28" s="31">
        <f>IF(OR($B13="",T$5="",T$7="休業",T13="－"),"",IF(T13="",1,IFERROR(VLOOKUP(T13,SYM_TBL,3,0),1)))</f>
        <v/>
      </c>
      <c r="U28" s="31">
        <f>IF(OR($B13="",U$5="",U$7="休業",U13="－"),"",IF(U13="",1,IFERROR(VLOOKUP(U13,SYM_TBL,3,0),1)))</f>
        <v/>
      </c>
      <c r="V28" s="31">
        <f>IF(OR($B13="",V$5="",V$7="休業",V13="－"),"",IF(V13="",1,IFERROR(VLOOKUP(V13,SYM_TBL,3,0),1)))</f>
        <v/>
      </c>
      <c r="W28" s="31">
        <f>IF(OR($B13="",W$5="",W$7="休業",W13="－"),"",IF(W13="",1,IFERROR(VLOOKUP(W13,SYM_TBL,3,0),1)))</f>
        <v/>
      </c>
      <c r="X28" s="31">
        <f>IF(OR($B13="",X$5="",X$7="休業",X13="－"),"",IF(X13="",1,IFERROR(VLOOKUP(X13,SYM_TBL,3,0),1)))</f>
        <v/>
      </c>
      <c r="Y28" s="31">
        <f>IF(OR($B13="",Y$5="",Y$7="休業",Y13="－"),"",IF(Y13="",1,IFERROR(VLOOKUP(Y13,SYM_TBL,3,0),1)))</f>
        <v/>
      </c>
      <c r="Z28" s="31">
        <f>IF(OR($B13="",Z$5="",Z$7="休業",Z13="－"),"",IF(Z13="",1,IFERROR(VLOOKUP(Z13,SYM_TBL,3,0),1)))</f>
        <v/>
      </c>
      <c r="AA28" s="31">
        <f>IF(OR($B13="",AA$5="",AA$7="休業",AA13="－"),"",IF(AA13="",1,IFERROR(VLOOKUP(AA13,SYM_TBL,3,0),1)))</f>
        <v/>
      </c>
      <c r="AB28" s="31">
        <f>IF(OR($B13="",AB$5="",AB$7="休業",AB13="－"),"",IF(AB13="",1,IFERROR(VLOOKUP(AB13,SYM_TBL,3,0),1)))</f>
        <v/>
      </c>
      <c r="AC28" s="31">
        <f>IF(OR($B13="",AC$5="",AC$7="休業",AC13="－"),"",IF(AC13="",1,IFERROR(VLOOKUP(AC13,SYM_TBL,3,0),1)))</f>
        <v/>
      </c>
      <c r="AD28" s="31">
        <f>IF(OR($B13="",AD$5="",AD$7="休業",AD13="－"),"",IF(AD13="",1,IFERROR(VLOOKUP(AD13,SYM_TBL,3,0),1)))</f>
        <v/>
      </c>
      <c r="AE28" s="31">
        <f>IF(OR($B13="",AE$5="",AE$7="休業",AE13="－"),"",IF(AE13="",1,IFERROR(VLOOKUP(AE13,SYM_TBL,3,0),1)))</f>
        <v/>
      </c>
      <c r="AF28" s="31">
        <f>IF(OR($B13="",AF$5="",AF$7="休業",AF13="－"),"",IF(AF13="",1,IFERROR(VLOOKUP(AF13,SYM_TBL,3,0),1)))</f>
        <v/>
      </c>
      <c r="AG28" s="31">
        <f>IF(OR($B13="",AG$5="",AG$7="休業",AG13="－"),"",IF(AG13="",1,IFERROR(VLOOKUP(AG13,SYM_TBL,3,0),1)))</f>
        <v/>
      </c>
      <c r="AH28" s="31">
        <f>IF(OR($B13="",AH$5="",AH$7="休業",AH13="－"),"",IF(AH13="",1,IFERROR(VLOOKUP(AH13,SYM_TBL,3,0),1)))</f>
        <v/>
      </c>
    </row>
    <row r="29">
      <c r="B29" s="29">
        <f>B8</f>
        <v/>
      </c>
      <c r="C29" s="30" t="inlineStr">
        <is>
          <t>申請中込</t>
        </is>
      </c>
      <c r="D29" s="31">
        <f>IF(OR($B8="",D$5="",D$7="休業",D8="－"),"",IF(D8="",1,IFERROR(VLOOKUP(SUBSTITUTE(SUBSTITUTE(D8,"(",""),")",""),SYM_TBL,3,0),1)))</f>
        <v/>
      </c>
      <c r="E29" s="31">
        <f>IF(OR($B8="",E$5="",E$7="休業",E8="－"),"",IF(E8="",1,IFERROR(VLOOKUP(SUBSTITUTE(SUBSTITUTE(E8,"(",""),")",""),SYM_TBL,3,0),1)))</f>
        <v/>
      </c>
      <c r="F29" s="31">
        <f>IF(OR($B8="",F$5="",F$7="休業",F8="－"),"",IF(F8="",1,IFERROR(VLOOKUP(SUBSTITUTE(SUBSTITUTE(F8,"(",""),")",""),SYM_TBL,3,0),1)))</f>
        <v/>
      </c>
      <c r="G29" s="31">
        <f>IF(OR($B8="",G$5="",G$7="休業",G8="－"),"",IF(G8="",1,IFERROR(VLOOKUP(SUBSTITUTE(SUBSTITUTE(G8,"(",""),")",""),SYM_TBL,3,0),1)))</f>
        <v/>
      </c>
      <c r="H29" s="31">
        <f>IF(OR($B8="",H$5="",H$7="休業",H8="－"),"",IF(H8="",1,IFERROR(VLOOKUP(SUBSTITUTE(SUBSTITUTE(H8,"(",""),")",""),SYM_TBL,3,0),1)))</f>
        <v/>
      </c>
      <c r="I29" s="31">
        <f>IF(OR($B8="",I$5="",I$7="休業",I8="－"),"",IF(I8="",1,IFERROR(VLOOKUP(SUBSTITUTE(SUBSTITUTE(I8,"(",""),")",""),SYM_TBL,3,0),1)))</f>
        <v/>
      </c>
      <c r="J29" s="31">
        <f>IF(OR($B8="",J$5="",J$7="休業",J8="－"),"",IF(J8="",1,IFERROR(VLOOKUP(SUBSTITUTE(SUBSTITUTE(J8,"(",""),")",""),SYM_TBL,3,0),1)))</f>
        <v/>
      </c>
      <c r="K29" s="31">
        <f>IF(OR($B8="",K$5="",K$7="休業",K8="－"),"",IF(K8="",1,IFERROR(VLOOKUP(SUBSTITUTE(SUBSTITUTE(K8,"(",""),")",""),SYM_TBL,3,0),1)))</f>
        <v/>
      </c>
      <c r="L29" s="31">
        <f>IF(OR($B8="",L$5="",L$7="休業",L8="－"),"",IF(L8="",1,IFERROR(VLOOKUP(SUBSTITUTE(SUBSTITUTE(L8,"(",""),")",""),SYM_TBL,3,0),1)))</f>
        <v/>
      </c>
      <c r="M29" s="31">
        <f>IF(OR($B8="",M$5="",M$7="休業",M8="－"),"",IF(M8="",1,IFERROR(VLOOKUP(SUBSTITUTE(SUBSTITUTE(M8,"(",""),")",""),SYM_TBL,3,0),1)))</f>
        <v/>
      </c>
      <c r="N29" s="31">
        <f>IF(OR($B8="",N$5="",N$7="休業",N8="－"),"",IF(N8="",1,IFERROR(VLOOKUP(SUBSTITUTE(SUBSTITUTE(N8,"(",""),")",""),SYM_TBL,3,0),1)))</f>
        <v/>
      </c>
      <c r="O29" s="31">
        <f>IF(OR($B8="",O$5="",O$7="休業",O8="－"),"",IF(O8="",1,IFERROR(VLOOKUP(SUBSTITUTE(SUBSTITUTE(O8,"(",""),")",""),SYM_TBL,3,0),1)))</f>
        <v/>
      </c>
      <c r="P29" s="31">
        <f>IF(OR($B8="",P$5="",P$7="休業",P8="－"),"",IF(P8="",1,IFERROR(VLOOKUP(SUBSTITUTE(SUBSTITUTE(P8,"(",""),")",""),SYM_TBL,3,0),1)))</f>
        <v/>
      </c>
      <c r="Q29" s="31">
        <f>IF(OR($B8="",Q$5="",Q$7="休業",Q8="－"),"",IF(Q8="",1,IFERROR(VLOOKUP(SUBSTITUTE(SUBSTITUTE(Q8,"(",""),")",""),SYM_TBL,3,0),1)))</f>
        <v/>
      </c>
      <c r="R29" s="31">
        <f>IF(OR($B8="",R$5="",R$7="休業",R8="－"),"",IF(R8="",1,IFERROR(VLOOKUP(SUBSTITUTE(SUBSTITUTE(R8,"(",""),")",""),SYM_TBL,3,0),1)))</f>
        <v/>
      </c>
      <c r="S29" s="31">
        <f>IF(OR($B8="",S$5="",S$7="休業",S8="－"),"",IF(S8="",1,IFERROR(VLOOKUP(SUBSTITUTE(SUBSTITUTE(S8,"(",""),")",""),SYM_TBL,3,0),1)))</f>
        <v/>
      </c>
      <c r="T29" s="31">
        <f>IF(OR($B8="",T$5="",T$7="休業",T8="－"),"",IF(T8="",1,IFERROR(VLOOKUP(SUBSTITUTE(SUBSTITUTE(T8,"(",""),")",""),SYM_TBL,3,0),1)))</f>
        <v/>
      </c>
      <c r="U29" s="31">
        <f>IF(OR($B8="",U$5="",U$7="休業",U8="－"),"",IF(U8="",1,IFERROR(VLOOKUP(SUBSTITUTE(SUBSTITUTE(U8,"(",""),")",""),SYM_TBL,3,0),1)))</f>
        <v/>
      </c>
      <c r="V29" s="31">
        <f>IF(OR($B8="",V$5="",V$7="休業",V8="－"),"",IF(V8="",1,IFERROR(VLOOKUP(SUBSTITUTE(SUBSTITUTE(V8,"(",""),")",""),SYM_TBL,3,0),1)))</f>
        <v/>
      </c>
      <c r="W29" s="31">
        <f>IF(OR($B8="",W$5="",W$7="休業",W8="－"),"",IF(W8="",1,IFERROR(VLOOKUP(SUBSTITUTE(SUBSTITUTE(W8,"(",""),")",""),SYM_TBL,3,0),1)))</f>
        <v/>
      </c>
      <c r="X29" s="31">
        <f>IF(OR($B8="",X$5="",X$7="休業",X8="－"),"",IF(X8="",1,IFERROR(VLOOKUP(SUBSTITUTE(SUBSTITUTE(X8,"(",""),")",""),SYM_TBL,3,0),1)))</f>
        <v/>
      </c>
      <c r="Y29" s="31">
        <f>IF(OR($B8="",Y$5="",Y$7="休業",Y8="－"),"",IF(Y8="",1,IFERROR(VLOOKUP(SUBSTITUTE(SUBSTITUTE(Y8,"(",""),")",""),SYM_TBL,3,0),1)))</f>
        <v/>
      </c>
      <c r="Z29" s="31">
        <f>IF(OR($B8="",Z$5="",Z$7="休業",Z8="－"),"",IF(Z8="",1,IFERROR(VLOOKUP(SUBSTITUTE(SUBSTITUTE(Z8,"(",""),")",""),SYM_TBL,3,0),1)))</f>
        <v/>
      </c>
      <c r="AA29" s="31">
        <f>IF(OR($B8="",AA$5="",AA$7="休業",AA8="－"),"",IF(AA8="",1,IFERROR(VLOOKUP(SUBSTITUTE(SUBSTITUTE(AA8,"(",""),")",""),SYM_TBL,3,0),1)))</f>
        <v/>
      </c>
      <c r="AB29" s="31">
        <f>IF(OR($B8="",AB$5="",AB$7="休業",AB8="－"),"",IF(AB8="",1,IFERROR(VLOOKUP(SUBSTITUTE(SUBSTITUTE(AB8,"(",""),")",""),SYM_TBL,3,0),1)))</f>
        <v/>
      </c>
      <c r="AC29" s="31">
        <f>IF(OR($B8="",AC$5="",AC$7="休業",AC8="－"),"",IF(AC8="",1,IFERROR(VLOOKUP(SUBSTITUTE(SUBSTITUTE(AC8,"(",""),")",""),SYM_TBL,3,0),1)))</f>
        <v/>
      </c>
      <c r="AD29" s="31">
        <f>IF(OR($B8="",AD$5="",AD$7="休業",AD8="－"),"",IF(AD8="",1,IFERROR(VLOOKUP(SUBSTITUTE(SUBSTITUTE(AD8,"(",""),")",""),SYM_TBL,3,0),1)))</f>
        <v/>
      </c>
      <c r="AE29" s="31">
        <f>IF(OR($B8="",AE$5="",AE$7="休業",AE8="－"),"",IF(AE8="",1,IFERROR(VLOOKUP(SUBSTITUTE(SUBSTITUTE(AE8,"(",""),")",""),SYM_TBL,3,0),1)))</f>
        <v/>
      </c>
      <c r="AF29" s="31">
        <f>IF(OR($B8="",AF$5="",AF$7="休業",AF8="－"),"",IF(AF8="",1,IFERROR(VLOOKUP(SUBSTITUTE(SUBSTITUTE(AF8,"(",""),")",""),SYM_TBL,3,0),1)))</f>
        <v/>
      </c>
      <c r="AG29" s="31">
        <f>IF(OR($B8="",AG$5="",AG$7="休業",AG8="－"),"",IF(AG8="",1,IFERROR(VLOOKUP(SUBSTITUTE(SUBSTITUTE(AG8,"(",""),")",""),SYM_TBL,3,0),1)))</f>
        <v/>
      </c>
      <c r="AH29" s="31">
        <f>IF(OR($B8="",AH$5="",AH$7="休業",AH8="－"),"",IF(AH8="",1,IFERROR(VLOOKUP(SUBSTITUTE(SUBSTITUTE(AH8,"(",""),")",""),SYM_TBL,3,0),1)))</f>
        <v/>
      </c>
    </row>
    <row r="30">
      <c r="B30" s="29">
        <f>B9</f>
        <v/>
      </c>
      <c r="C30" s="30" t="inlineStr">
        <is>
          <t>申請中込</t>
        </is>
      </c>
      <c r="D30" s="31">
        <f>IF(OR($B9="",D$5="",D$7="休業",D9="－"),"",IF(D9="",1,IFERROR(VLOOKUP(SUBSTITUTE(SUBSTITUTE(D9,"(",""),")",""),SYM_TBL,3,0),1)))</f>
        <v/>
      </c>
      <c r="E30" s="31">
        <f>IF(OR($B9="",E$5="",E$7="休業",E9="－"),"",IF(E9="",1,IFERROR(VLOOKUP(SUBSTITUTE(SUBSTITUTE(E9,"(",""),")",""),SYM_TBL,3,0),1)))</f>
        <v/>
      </c>
      <c r="F30" s="31">
        <f>IF(OR($B9="",F$5="",F$7="休業",F9="－"),"",IF(F9="",1,IFERROR(VLOOKUP(SUBSTITUTE(SUBSTITUTE(F9,"(",""),")",""),SYM_TBL,3,0),1)))</f>
        <v/>
      </c>
      <c r="G30" s="31">
        <f>IF(OR($B9="",G$5="",G$7="休業",G9="－"),"",IF(G9="",1,IFERROR(VLOOKUP(SUBSTITUTE(SUBSTITUTE(G9,"(",""),")",""),SYM_TBL,3,0),1)))</f>
        <v/>
      </c>
      <c r="H30" s="31">
        <f>IF(OR($B9="",H$5="",H$7="休業",H9="－"),"",IF(H9="",1,IFERROR(VLOOKUP(SUBSTITUTE(SUBSTITUTE(H9,"(",""),")",""),SYM_TBL,3,0),1)))</f>
        <v/>
      </c>
      <c r="I30" s="31">
        <f>IF(OR($B9="",I$5="",I$7="休業",I9="－"),"",IF(I9="",1,IFERROR(VLOOKUP(SUBSTITUTE(SUBSTITUTE(I9,"(",""),")",""),SYM_TBL,3,0),1)))</f>
        <v/>
      </c>
      <c r="J30" s="31">
        <f>IF(OR($B9="",J$5="",J$7="休業",J9="－"),"",IF(J9="",1,IFERROR(VLOOKUP(SUBSTITUTE(SUBSTITUTE(J9,"(",""),")",""),SYM_TBL,3,0),1)))</f>
        <v/>
      </c>
      <c r="K30" s="31">
        <f>IF(OR($B9="",K$5="",K$7="休業",K9="－"),"",IF(K9="",1,IFERROR(VLOOKUP(SUBSTITUTE(SUBSTITUTE(K9,"(",""),")",""),SYM_TBL,3,0),1)))</f>
        <v/>
      </c>
      <c r="L30" s="31">
        <f>IF(OR($B9="",L$5="",L$7="休業",L9="－"),"",IF(L9="",1,IFERROR(VLOOKUP(SUBSTITUTE(SUBSTITUTE(L9,"(",""),")",""),SYM_TBL,3,0),1)))</f>
        <v/>
      </c>
      <c r="M30" s="31">
        <f>IF(OR($B9="",M$5="",M$7="休業",M9="－"),"",IF(M9="",1,IFERROR(VLOOKUP(SUBSTITUTE(SUBSTITUTE(M9,"(",""),")",""),SYM_TBL,3,0),1)))</f>
        <v/>
      </c>
      <c r="N30" s="31">
        <f>IF(OR($B9="",N$5="",N$7="休業",N9="－"),"",IF(N9="",1,IFERROR(VLOOKUP(SUBSTITUTE(SUBSTITUTE(N9,"(",""),")",""),SYM_TBL,3,0),1)))</f>
        <v/>
      </c>
      <c r="O30" s="31">
        <f>IF(OR($B9="",O$5="",O$7="休業",O9="－"),"",IF(O9="",1,IFERROR(VLOOKUP(SUBSTITUTE(SUBSTITUTE(O9,"(",""),")",""),SYM_TBL,3,0),1)))</f>
        <v/>
      </c>
      <c r="P30" s="31">
        <f>IF(OR($B9="",P$5="",P$7="休業",P9="－"),"",IF(P9="",1,IFERROR(VLOOKUP(SUBSTITUTE(SUBSTITUTE(P9,"(",""),")",""),SYM_TBL,3,0),1)))</f>
        <v/>
      </c>
      <c r="Q30" s="31">
        <f>IF(OR($B9="",Q$5="",Q$7="休業",Q9="－"),"",IF(Q9="",1,IFERROR(VLOOKUP(SUBSTITUTE(SUBSTITUTE(Q9,"(",""),")",""),SYM_TBL,3,0),1)))</f>
        <v/>
      </c>
      <c r="R30" s="31">
        <f>IF(OR($B9="",R$5="",R$7="休業",R9="－"),"",IF(R9="",1,IFERROR(VLOOKUP(SUBSTITUTE(SUBSTITUTE(R9,"(",""),")",""),SYM_TBL,3,0),1)))</f>
        <v/>
      </c>
      <c r="S30" s="31">
        <f>IF(OR($B9="",S$5="",S$7="休業",S9="－"),"",IF(S9="",1,IFERROR(VLOOKUP(SUBSTITUTE(SUBSTITUTE(S9,"(",""),")",""),SYM_TBL,3,0),1)))</f>
        <v/>
      </c>
      <c r="T30" s="31">
        <f>IF(OR($B9="",T$5="",T$7="休業",T9="－"),"",IF(T9="",1,IFERROR(VLOOKUP(SUBSTITUTE(SUBSTITUTE(T9,"(",""),")",""),SYM_TBL,3,0),1)))</f>
        <v/>
      </c>
      <c r="U30" s="31">
        <f>IF(OR($B9="",U$5="",U$7="休業",U9="－"),"",IF(U9="",1,IFERROR(VLOOKUP(SUBSTITUTE(SUBSTITUTE(U9,"(",""),")",""),SYM_TBL,3,0),1)))</f>
        <v/>
      </c>
      <c r="V30" s="31">
        <f>IF(OR($B9="",V$5="",V$7="休業",V9="－"),"",IF(V9="",1,IFERROR(VLOOKUP(SUBSTITUTE(SUBSTITUTE(V9,"(",""),")",""),SYM_TBL,3,0),1)))</f>
        <v/>
      </c>
      <c r="W30" s="31">
        <f>IF(OR($B9="",W$5="",W$7="休業",W9="－"),"",IF(W9="",1,IFERROR(VLOOKUP(SUBSTITUTE(SUBSTITUTE(W9,"(",""),")",""),SYM_TBL,3,0),1)))</f>
        <v/>
      </c>
      <c r="X30" s="31">
        <f>IF(OR($B9="",X$5="",X$7="休業",X9="－"),"",IF(X9="",1,IFERROR(VLOOKUP(SUBSTITUTE(SUBSTITUTE(X9,"(",""),")",""),SYM_TBL,3,0),1)))</f>
        <v/>
      </c>
      <c r="Y30" s="31">
        <f>IF(OR($B9="",Y$5="",Y$7="休業",Y9="－"),"",IF(Y9="",1,IFERROR(VLOOKUP(SUBSTITUTE(SUBSTITUTE(Y9,"(",""),")",""),SYM_TBL,3,0),1)))</f>
        <v/>
      </c>
      <c r="Z30" s="31">
        <f>IF(OR($B9="",Z$5="",Z$7="休業",Z9="－"),"",IF(Z9="",1,IFERROR(VLOOKUP(SUBSTITUTE(SUBSTITUTE(Z9,"(",""),")",""),SYM_TBL,3,0),1)))</f>
        <v/>
      </c>
      <c r="AA30" s="31">
        <f>IF(OR($B9="",AA$5="",AA$7="休業",AA9="－"),"",IF(AA9="",1,IFERROR(VLOOKUP(SUBSTITUTE(SUBSTITUTE(AA9,"(",""),")",""),SYM_TBL,3,0),1)))</f>
        <v/>
      </c>
      <c r="AB30" s="31">
        <f>IF(OR($B9="",AB$5="",AB$7="休業",AB9="－"),"",IF(AB9="",1,IFERROR(VLOOKUP(SUBSTITUTE(SUBSTITUTE(AB9,"(",""),")",""),SYM_TBL,3,0),1)))</f>
        <v/>
      </c>
      <c r="AC30" s="31">
        <f>IF(OR($B9="",AC$5="",AC$7="休業",AC9="－"),"",IF(AC9="",1,IFERROR(VLOOKUP(SUBSTITUTE(SUBSTITUTE(AC9,"(",""),")",""),SYM_TBL,3,0),1)))</f>
        <v/>
      </c>
      <c r="AD30" s="31">
        <f>IF(OR($B9="",AD$5="",AD$7="休業",AD9="－"),"",IF(AD9="",1,IFERROR(VLOOKUP(SUBSTITUTE(SUBSTITUTE(AD9,"(",""),")",""),SYM_TBL,3,0),1)))</f>
        <v/>
      </c>
      <c r="AE30" s="31">
        <f>IF(OR($B9="",AE$5="",AE$7="休業",AE9="－"),"",IF(AE9="",1,IFERROR(VLOOKUP(SUBSTITUTE(SUBSTITUTE(AE9,"(",""),")",""),SYM_TBL,3,0),1)))</f>
        <v/>
      </c>
      <c r="AF30" s="31">
        <f>IF(OR($B9="",AF$5="",AF$7="休業",AF9="－"),"",IF(AF9="",1,IFERROR(VLOOKUP(SUBSTITUTE(SUBSTITUTE(AF9,"(",""),")",""),SYM_TBL,3,0),1)))</f>
        <v/>
      </c>
      <c r="AG30" s="31">
        <f>IF(OR($B9="",AG$5="",AG$7="休業",AG9="－"),"",IF(AG9="",1,IFERROR(VLOOKUP(SUBSTITUTE(SUBSTITUTE(AG9,"(",""),")",""),SYM_TBL,3,0),1)))</f>
        <v/>
      </c>
      <c r="AH30" s="31">
        <f>IF(OR($B9="",AH$5="",AH$7="休業",AH9="－"),"",IF(AH9="",1,IFERROR(VLOOKUP(SUBSTITUTE(SUBSTITUTE(AH9,"(",""),")",""),SYM_TBL,3,0),1)))</f>
        <v/>
      </c>
    </row>
    <row r="31">
      <c r="B31" s="29">
        <f>B10</f>
        <v/>
      </c>
      <c r="C31" s="30" t="inlineStr">
        <is>
          <t>申請中込</t>
        </is>
      </c>
      <c r="D31" s="31">
        <f>IF(OR($B10="",D$5="",D$7="休業",D10="－"),"",IF(D10="",1,IFERROR(VLOOKUP(SUBSTITUTE(SUBSTITUTE(D10,"(",""),")",""),SYM_TBL,3,0),1)))</f>
        <v/>
      </c>
      <c r="E31" s="31">
        <f>IF(OR($B10="",E$5="",E$7="休業",E10="－"),"",IF(E10="",1,IFERROR(VLOOKUP(SUBSTITUTE(SUBSTITUTE(E10,"(",""),")",""),SYM_TBL,3,0),1)))</f>
        <v/>
      </c>
      <c r="F31" s="31">
        <f>IF(OR($B10="",F$5="",F$7="休業",F10="－"),"",IF(F10="",1,IFERROR(VLOOKUP(SUBSTITUTE(SUBSTITUTE(F10,"(",""),")",""),SYM_TBL,3,0),1)))</f>
        <v/>
      </c>
      <c r="G31" s="31">
        <f>IF(OR($B10="",G$5="",G$7="休業",G10="－"),"",IF(G10="",1,IFERROR(VLOOKUP(SUBSTITUTE(SUBSTITUTE(G10,"(",""),")",""),SYM_TBL,3,0),1)))</f>
        <v/>
      </c>
      <c r="H31" s="31">
        <f>IF(OR($B10="",H$5="",H$7="休業",H10="－"),"",IF(H10="",1,IFERROR(VLOOKUP(SUBSTITUTE(SUBSTITUTE(H10,"(",""),")",""),SYM_TBL,3,0),1)))</f>
        <v/>
      </c>
      <c r="I31" s="31">
        <f>IF(OR($B10="",I$5="",I$7="休業",I10="－"),"",IF(I10="",1,IFERROR(VLOOKUP(SUBSTITUTE(SUBSTITUTE(I10,"(",""),")",""),SYM_TBL,3,0),1)))</f>
        <v/>
      </c>
      <c r="J31" s="31">
        <f>IF(OR($B10="",J$5="",J$7="休業",J10="－"),"",IF(J10="",1,IFERROR(VLOOKUP(SUBSTITUTE(SUBSTITUTE(J10,"(",""),")",""),SYM_TBL,3,0),1)))</f>
        <v/>
      </c>
      <c r="K31" s="31">
        <f>IF(OR($B10="",K$5="",K$7="休業",K10="－"),"",IF(K10="",1,IFERROR(VLOOKUP(SUBSTITUTE(SUBSTITUTE(K10,"(",""),")",""),SYM_TBL,3,0),1)))</f>
        <v/>
      </c>
      <c r="L31" s="31">
        <f>IF(OR($B10="",L$5="",L$7="休業",L10="－"),"",IF(L10="",1,IFERROR(VLOOKUP(SUBSTITUTE(SUBSTITUTE(L10,"(",""),")",""),SYM_TBL,3,0),1)))</f>
        <v/>
      </c>
      <c r="M31" s="31">
        <f>IF(OR($B10="",M$5="",M$7="休業",M10="－"),"",IF(M10="",1,IFERROR(VLOOKUP(SUBSTITUTE(SUBSTITUTE(M10,"(",""),")",""),SYM_TBL,3,0),1)))</f>
        <v/>
      </c>
      <c r="N31" s="31">
        <f>IF(OR($B10="",N$5="",N$7="休業",N10="－"),"",IF(N10="",1,IFERROR(VLOOKUP(SUBSTITUTE(SUBSTITUTE(N10,"(",""),")",""),SYM_TBL,3,0),1)))</f>
        <v/>
      </c>
      <c r="O31" s="31">
        <f>IF(OR($B10="",O$5="",O$7="休業",O10="－"),"",IF(O10="",1,IFERROR(VLOOKUP(SUBSTITUTE(SUBSTITUTE(O10,"(",""),")",""),SYM_TBL,3,0),1)))</f>
        <v/>
      </c>
      <c r="P31" s="31">
        <f>IF(OR($B10="",P$5="",P$7="休業",P10="－"),"",IF(P10="",1,IFERROR(VLOOKUP(SUBSTITUTE(SUBSTITUTE(P10,"(",""),")",""),SYM_TBL,3,0),1)))</f>
        <v/>
      </c>
      <c r="Q31" s="31">
        <f>IF(OR($B10="",Q$5="",Q$7="休業",Q10="－"),"",IF(Q10="",1,IFERROR(VLOOKUP(SUBSTITUTE(SUBSTITUTE(Q10,"(",""),")",""),SYM_TBL,3,0),1)))</f>
        <v/>
      </c>
      <c r="R31" s="31">
        <f>IF(OR($B10="",R$5="",R$7="休業",R10="－"),"",IF(R10="",1,IFERROR(VLOOKUP(SUBSTITUTE(SUBSTITUTE(R10,"(",""),")",""),SYM_TBL,3,0),1)))</f>
        <v/>
      </c>
      <c r="S31" s="31">
        <f>IF(OR($B10="",S$5="",S$7="休業",S10="－"),"",IF(S10="",1,IFERROR(VLOOKUP(SUBSTITUTE(SUBSTITUTE(S10,"(",""),")",""),SYM_TBL,3,0),1)))</f>
        <v/>
      </c>
      <c r="T31" s="31">
        <f>IF(OR($B10="",T$5="",T$7="休業",T10="－"),"",IF(T10="",1,IFERROR(VLOOKUP(SUBSTITUTE(SUBSTITUTE(T10,"(",""),")",""),SYM_TBL,3,0),1)))</f>
        <v/>
      </c>
      <c r="U31" s="31">
        <f>IF(OR($B10="",U$5="",U$7="休業",U10="－"),"",IF(U10="",1,IFERROR(VLOOKUP(SUBSTITUTE(SUBSTITUTE(U10,"(",""),")",""),SYM_TBL,3,0),1)))</f>
        <v/>
      </c>
      <c r="V31" s="31">
        <f>IF(OR($B10="",V$5="",V$7="休業",V10="－"),"",IF(V10="",1,IFERROR(VLOOKUP(SUBSTITUTE(SUBSTITUTE(V10,"(",""),")",""),SYM_TBL,3,0),1)))</f>
        <v/>
      </c>
      <c r="W31" s="31">
        <f>IF(OR($B10="",W$5="",W$7="休業",W10="－"),"",IF(W10="",1,IFERROR(VLOOKUP(SUBSTITUTE(SUBSTITUTE(W10,"(",""),")",""),SYM_TBL,3,0),1)))</f>
        <v/>
      </c>
      <c r="X31" s="31">
        <f>IF(OR($B10="",X$5="",X$7="休業",X10="－"),"",IF(X10="",1,IFERROR(VLOOKUP(SUBSTITUTE(SUBSTITUTE(X10,"(",""),")",""),SYM_TBL,3,0),1)))</f>
        <v/>
      </c>
      <c r="Y31" s="31">
        <f>IF(OR($B10="",Y$5="",Y$7="休業",Y10="－"),"",IF(Y10="",1,IFERROR(VLOOKUP(SUBSTITUTE(SUBSTITUTE(Y10,"(",""),")",""),SYM_TBL,3,0),1)))</f>
        <v/>
      </c>
      <c r="Z31" s="31">
        <f>IF(OR($B10="",Z$5="",Z$7="休業",Z10="－"),"",IF(Z10="",1,IFERROR(VLOOKUP(SUBSTITUTE(SUBSTITUTE(Z10,"(",""),")",""),SYM_TBL,3,0),1)))</f>
        <v/>
      </c>
      <c r="AA31" s="31">
        <f>IF(OR($B10="",AA$5="",AA$7="休業",AA10="－"),"",IF(AA10="",1,IFERROR(VLOOKUP(SUBSTITUTE(SUBSTITUTE(AA10,"(",""),")",""),SYM_TBL,3,0),1)))</f>
        <v/>
      </c>
      <c r="AB31" s="31">
        <f>IF(OR($B10="",AB$5="",AB$7="休業",AB10="－"),"",IF(AB10="",1,IFERROR(VLOOKUP(SUBSTITUTE(SUBSTITUTE(AB10,"(",""),")",""),SYM_TBL,3,0),1)))</f>
        <v/>
      </c>
      <c r="AC31" s="31">
        <f>IF(OR($B10="",AC$5="",AC$7="休業",AC10="－"),"",IF(AC10="",1,IFERROR(VLOOKUP(SUBSTITUTE(SUBSTITUTE(AC10,"(",""),")",""),SYM_TBL,3,0),1)))</f>
        <v/>
      </c>
      <c r="AD31" s="31">
        <f>IF(OR($B10="",AD$5="",AD$7="休業",AD10="－"),"",IF(AD10="",1,IFERROR(VLOOKUP(SUBSTITUTE(SUBSTITUTE(AD10,"(",""),")",""),SYM_TBL,3,0),1)))</f>
        <v/>
      </c>
      <c r="AE31" s="31">
        <f>IF(OR($B10="",AE$5="",AE$7="休業",AE10="－"),"",IF(AE10="",1,IFERROR(VLOOKUP(SUBSTITUTE(SUBSTITUTE(AE10,"(",""),")",""),SYM_TBL,3,0),1)))</f>
        <v/>
      </c>
      <c r="AF31" s="31">
        <f>IF(OR($B10="",AF$5="",AF$7="休業",AF10="－"),"",IF(AF10="",1,IFERROR(VLOOKUP(SUBSTITUTE(SUBSTITUTE(AF10,"(",""),")",""),SYM_TBL,3,0),1)))</f>
        <v/>
      </c>
      <c r="AG31" s="31">
        <f>IF(OR($B10="",AG$5="",AG$7="休業",AG10="－"),"",IF(AG10="",1,IFERROR(VLOOKUP(SUBSTITUTE(SUBSTITUTE(AG10,"(",""),")",""),SYM_TBL,3,0),1)))</f>
        <v/>
      </c>
      <c r="AH31" s="31">
        <f>IF(OR($B10="",AH$5="",AH$7="休業",AH10="－"),"",IF(AH10="",1,IFERROR(VLOOKUP(SUBSTITUTE(SUBSTITUTE(AH10,"(",""),")",""),SYM_TBL,3,0),1)))</f>
        <v/>
      </c>
    </row>
    <row r="32">
      <c r="B32" s="29">
        <f>B11</f>
        <v/>
      </c>
      <c r="C32" s="30" t="inlineStr">
        <is>
          <t>申請中込</t>
        </is>
      </c>
      <c r="D32" s="31">
        <f>IF(OR($B11="",D$5="",D$7="休業",D11="－"),"",IF(D11="",1,IFERROR(VLOOKUP(SUBSTITUTE(SUBSTITUTE(D11,"(",""),")",""),SYM_TBL,3,0),1)))</f>
        <v/>
      </c>
      <c r="E32" s="31">
        <f>IF(OR($B11="",E$5="",E$7="休業",E11="－"),"",IF(E11="",1,IFERROR(VLOOKUP(SUBSTITUTE(SUBSTITUTE(E11,"(",""),")",""),SYM_TBL,3,0),1)))</f>
        <v/>
      </c>
      <c r="F32" s="31">
        <f>IF(OR($B11="",F$5="",F$7="休業",F11="－"),"",IF(F11="",1,IFERROR(VLOOKUP(SUBSTITUTE(SUBSTITUTE(F11,"(",""),")",""),SYM_TBL,3,0),1)))</f>
        <v/>
      </c>
      <c r="G32" s="31">
        <f>IF(OR($B11="",G$5="",G$7="休業",G11="－"),"",IF(G11="",1,IFERROR(VLOOKUP(SUBSTITUTE(SUBSTITUTE(G11,"(",""),")",""),SYM_TBL,3,0),1)))</f>
        <v/>
      </c>
      <c r="H32" s="31">
        <f>IF(OR($B11="",H$5="",H$7="休業",H11="－"),"",IF(H11="",1,IFERROR(VLOOKUP(SUBSTITUTE(SUBSTITUTE(H11,"(",""),")",""),SYM_TBL,3,0),1)))</f>
        <v/>
      </c>
      <c r="I32" s="31">
        <f>IF(OR($B11="",I$5="",I$7="休業",I11="－"),"",IF(I11="",1,IFERROR(VLOOKUP(SUBSTITUTE(SUBSTITUTE(I11,"(",""),")",""),SYM_TBL,3,0),1)))</f>
        <v/>
      </c>
      <c r="J32" s="31">
        <f>IF(OR($B11="",J$5="",J$7="休業",J11="－"),"",IF(J11="",1,IFERROR(VLOOKUP(SUBSTITUTE(SUBSTITUTE(J11,"(",""),")",""),SYM_TBL,3,0),1)))</f>
        <v/>
      </c>
      <c r="K32" s="31">
        <f>IF(OR($B11="",K$5="",K$7="休業",K11="－"),"",IF(K11="",1,IFERROR(VLOOKUP(SUBSTITUTE(SUBSTITUTE(K11,"(",""),")",""),SYM_TBL,3,0),1)))</f>
        <v/>
      </c>
      <c r="L32" s="31">
        <f>IF(OR($B11="",L$5="",L$7="休業",L11="－"),"",IF(L11="",1,IFERROR(VLOOKUP(SUBSTITUTE(SUBSTITUTE(L11,"(",""),")",""),SYM_TBL,3,0),1)))</f>
        <v/>
      </c>
      <c r="M32" s="31">
        <f>IF(OR($B11="",M$5="",M$7="休業",M11="－"),"",IF(M11="",1,IFERROR(VLOOKUP(SUBSTITUTE(SUBSTITUTE(M11,"(",""),")",""),SYM_TBL,3,0),1)))</f>
        <v/>
      </c>
      <c r="N32" s="31">
        <f>IF(OR($B11="",N$5="",N$7="休業",N11="－"),"",IF(N11="",1,IFERROR(VLOOKUP(SUBSTITUTE(SUBSTITUTE(N11,"(",""),")",""),SYM_TBL,3,0),1)))</f>
        <v/>
      </c>
      <c r="O32" s="31">
        <f>IF(OR($B11="",O$5="",O$7="休業",O11="－"),"",IF(O11="",1,IFERROR(VLOOKUP(SUBSTITUTE(SUBSTITUTE(O11,"(",""),")",""),SYM_TBL,3,0),1)))</f>
        <v/>
      </c>
      <c r="P32" s="31">
        <f>IF(OR($B11="",P$5="",P$7="休業",P11="－"),"",IF(P11="",1,IFERROR(VLOOKUP(SUBSTITUTE(SUBSTITUTE(P11,"(",""),")",""),SYM_TBL,3,0),1)))</f>
        <v/>
      </c>
      <c r="Q32" s="31">
        <f>IF(OR($B11="",Q$5="",Q$7="休業",Q11="－"),"",IF(Q11="",1,IFERROR(VLOOKUP(SUBSTITUTE(SUBSTITUTE(Q11,"(",""),")",""),SYM_TBL,3,0),1)))</f>
        <v/>
      </c>
      <c r="R32" s="31">
        <f>IF(OR($B11="",R$5="",R$7="休業",R11="－"),"",IF(R11="",1,IFERROR(VLOOKUP(SUBSTITUTE(SUBSTITUTE(R11,"(",""),")",""),SYM_TBL,3,0),1)))</f>
        <v/>
      </c>
      <c r="S32" s="31">
        <f>IF(OR($B11="",S$5="",S$7="休業",S11="－"),"",IF(S11="",1,IFERROR(VLOOKUP(SUBSTITUTE(SUBSTITUTE(S11,"(",""),")",""),SYM_TBL,3,0),1)))</f>
        <v/>
      </c>
      <c r="T32" s="31">
        <f>IF(OR($B11="",T$5="",T$7="休業",T11="－"),"",IF(T11="",1,IFERROR(VLOOKUP(SUBSTITUTE(SUBSTITUTE(T11,"(",""),")",""),SYM_TBL,3,0),1)))</f>
        <v/>
      </c>
      <c r="U32" s="31">
        <f>IF(OR($B11="",U$5="",U$7="休業",U11="－"),"",IF(U11="",1,IFERROR(VLOOKUP(SUBSTITUTE(SUBSTITUTE(U11,"(",""),")",""),SYM_TBL,3,0),1)))</f>
        <v/>
      </c>
      <c r="V32" s="31">
        <f>IF(OR($B11="",V$5="",V$7="休業",V11="－"),"",IF(V11="",1,IFERROR(VLOOKUP(SUBSTITUTE(SUBSTITUTE(V11,"(",""),")",""),SYM_TBL,3,0),1)))</f>
        <v/>
      </c>
      <c r="W32" s="31">
        <f>IF(OR($B11="",W$5="",W$7="休業",W11="－"),"",IF(W11="",1,IFERROR(VLOOKUP(SUBSTITUTE(SUBSTITUTE(W11,"(",""),")",""),SYM_TBL,3,0),1)))</f>
        <v/>
      </c>
      <c r="X32" s="31">
        <f>IF(OR($B11="",X$5="",X$7="休業",X11="－"),"",IF(X11="",1,IFERROR(VLOOKUP(SUBSTITUTE(SUBSTITUTE(X11,"(",""),")",""),SYM_TBL,3,0),1)))</f>
        <v/>
      </c>
      <c r="Y32" s="31">
        <f>IF(OR($B11="",Y$5="",Y$7="休業",Y11="－"),"",IF(Y11="",1,IFERROR(VLOOKUP(SUBSTITUTE(SUBSTITUTE(Y11,"(",""),")",""),SYM_TBL,3,0),1)))</f>
        <v/>
      </c>
      <c r="Z32" s="31">
        <f>IF(OR($B11="",Z$5="",Z$7="休業",Z11="－"),"",IF(Z11="",1,IFERROR(VLOOKUP(SUBSTITUTE(SUBSTITUTE(Z11,"(",""),")",""),SYM_TBL,3,0),1)))</f>
        <v/>
      </c>
      <c r="AA32" s="31">
        <f>IF(OR($B11="",AA$5="",AA$7="休業",AA11="－"),"",IF(AA11="",1,IFERROR(VLOOKUP(SUBSTITUTE(SUBSTITUTE(AA11,"(",""),")",""),SYM_TBL,3,0),1)))</f>
        <v/>
      </c>
      <c r="AB32" s="31">
        <f>IF(OR($B11="",AB$5="",AB$7="休業",AB11="－"),"",IF(AB11="",1,IFERROR(VLOOKUP(SUBSTITUTE(SUBSTITUTE(AB11,"(",""),")",""),SYM_TBL,3,0),1)))</f>
        <v/>
      </c>
      <c r="AC32" s="31">
        <f>IF(OR($B11="",AC$5="",AC$7="休業",AC11="－"),"",IF(AC11="",1,IFERROR(VLOOKUP(SUBSTITUTE(SUBSTITUTE(AC11,"(",""),")",""),SYM_TBL,3,0),1)))</f>
        <v/>
      </c>
      <c r="AD32" s="31">
        <f>IF(OR($B11="",AD$5="",AD$7="休業",AD11="－"),"",IF(AD11="",1,IFERROR(VLOOKUP(SUBSTITUTE(SUBSTITUTE(AD11,"(",""),")",""),SYM_TBL,3,0),1)))</f>
        <v/>
      </c>
      <c r="AE32" s="31">
        <f>IF(OR($B11="",AE$5="",AE$7="休業",AE11="－"),"",IF(AE11="",1,IFERROR(VLOOKUP(SUBSTITUTE(SUBSTITUTE(AE11,"(",""),")",""),SYM_TBL,3,0),1)))</f>
        <v/>
      </c>
      <c r="AF32" s="31">
        <f>IF(OR($B11="",AF$5="",AF$7="休業",AF11="－"),"",IF(AF11="",1,IFERROR(VLOOKUP(SUBSTITUTE(SUBSTITUTE(AF11,"(",""),")",""),SYM_TBL,3,0),1)))</f>
        <v/>
      </c>
      <c r="AG32" s="31">
        <f>IF(OR($B11="",AG$5="",AG$7="休業",AG11="－"),"",IF(AG11="",1,IFERROR(VLOOKUP(SUBSTITUTE(SUBSTITUTE(AG11,"(",""),")",""),SYM_TBL,3,0),1)))</f>
        <v/>
      </c>
      <c r="AH32" s="31">
        <f>IF(OR($B11="",AH$5="",AH$7="休業",AH11="－"),"",IF(AH11="",1,IFERROR(VLOOKUP(SUBSTITUTE(SUBSTITUTE(AH11,"(",""),")",""),SYM_TBL,3,0),1)))</f>
        <v/>
      </c>
    </row>
    <row r="33">
      <c r="B33" s="29">
        <f>B12</f>
        <v/>
      </c>
      <c r="C33" s="30" t="inlineStr">
        <is>
          <t>申請中込</t>
        </is>
      </c>
      <c r="D33" s="31">
        <f>IF(OR($B12="",D$5="",D$7="休業",D12="－"),"",IF(D12="",1,IFERROR(VLOOKUP(SUBSTITUTE(SUBSTITUTE(D12,"(",""),")",""),SYM_TBL,3,0),1)))</f>
        <v/>
      </c>
      <c r="E33" s="31">
        <f>IF(OR($B12="",E$5="",E$7="休業",E12="－"),"",IF(E12="",1,IFERROR(VLOOKUP(SUBSTITUTE(SUBSTITUTE(E12,"(",""),")",""),SYM_TBL,3,0),1)))</f>
        <v/>
      </c>
      <c r="F33" s="31">
        <f>IF(OR($B12="",F$5="",F$7="休業",F12="－"),"",IF(F12="",1,IFERROR(VLOOKUP(SUBSTITUTE(SUBSTITUTE(F12,"(",""),")",""),SYM_TBL,3,0),1)))</f>
        <v/>
      </c>
      <c r="G33" s="31">
        <f>IF(OR($B12="",G$5="",G$7="休業",G12="－"),"",IF(G12="",1,IFERROR(VLOOKUP(SUBSTITUTE(SUBSTITUTE(G12,"(",""),")",""),SYM_TBL,3,0),1)))</f>
        <v/>
      </c>
      <c r="H33" s="31">
        <f>IF(OR($B12="",H$5="",H$7="休業",H12="－"),"",IF(H12="",1,IFERROR(VLOOKUP(SUBSTITUTE(SUBSTITUTE(H12,"(",""),")",""),SYM_TBL,3,0),1)))</f>
        <v/>
      </c>
      <c r="I33" s="31">
        <f>IF(OR($B12="",I$5="",I$7="休業",I12="－"),"",IF(I12="",1,IFERROR(VLOOKUP(SUBSTITUTE(SUBSTITUTE(I12,"(",""),")",""),SYM_TBL,3,0),1)))</f>
        <v/>
      </c>
      <c r="J33" s="31">
        <f>IF(OR($B12="",J$5="",J$7="休業",J12="－"),"",IF(J12="",1,IFERROR(VLOOKUP(SUBSTITUTE(SUBSTITUTE(J12,"(",""),")",""),SYM_TBL,3,0),1)))</f>
        <v/>
      </c>
      <c r="K33" s="31">
        <f>IF(OR($B12="",K$5="",K$7="休業",K12="－"),"",IF(K12="",1,IFERROR(VLOOKUP(SUBSTITUTE(SUBSTITUTE(K12,"(",""),")",""),SYM_TBL,3,0),1)))</f>
        <v/>
      </c>
      <c r="L33" s="31">
        <f>IF(OR($B12="",L$5="",L$7="休業",L12="－"),"",IF(L12="",1,IFERROR(VLOOKUP(SUBSTITUTE(SUBSTITUTE(L12,"(",""),")",""),SYM_TBL,3,0),1)))</f>
        <v/>
      </c>
      <c r="M33" s="31">
        <f>IF(OR($B12="",M$5="",M$7="休業",M12="－"),"",IF(M12="",1,IFERROR(VLOOKUP(SUBSTITUTE(SUBSTITUTE(M12,"(",""),")",""),SYM_TBL,3,0),1)))</f>
        <v/>
      </c>
      <c r="N33" s="31">
        <f>IF(OR($B12="",N$5="",N$7="休業",N12="－"),"",IF(N12="",1,IFERROR(VLOOKUP(SUBSTITUTE(SUBSTITUTE(N12,"(",""),")",""),SYM_TBL,3,0),1)))</f>
        <v/>
      </c>
      <c r="O33" s="31">
        <f>IF(OR($B12="",O$5="",O$7="休業",O12="－"),"",IF(O12="",1,IFERROR(VLOOKUP(SUBSTITUTE(SUBSTITUTE(O12,"(",""),")",""),SYM_TBL,3,0),1)))</f>
        <v/>
      </c>
      <c r="P33" s="31">
        <f>IF(OR($B12="",P$5="",P$7="休業",P12="－"),"",IF(P12="",1,IFERROR(VLOOKUP(SUBSTITUTE(SUBSTITUTE(P12,"(",""),")",""),SYM_TBL,3,0),1)))</f>
        <v/>
      </c>
      <c r="Q33" s="31">
        <f>IF(OR($B12="",Q$5="",Q$7="休業",Q12="－"),"",IF(Q12="",1,IFERROR(VLOOKUP(SUBSTITUTE(SUBSTITUTE(Q12,"(",""),")",""),SYM_TBL,3,0),1)))</f>
        <v/>
      </c>
      <c r="R33" s="31">
        <f>IF(OR($B12="",R$5="",R$7="休業",R12="－"),"",IF(R12="",1,IFERROR(VLOOKUP(SUBSTITUTE(SUBSTITUTE(R12,"(",""),")",""),SYM_TBL,3,0),1)))</f>
        <v/>
      </c>
      <c r="S33" s="31">
        <f>IF(OR($B12="",S$5="",S$7="休業",S12="－"),"",IF(S12="",1,IFERROR(VLOOKUP(SUBSTITUTE(SUBSTITUTE(S12,"(",""),")",""),SYM_TBL,3,0),1)))</f>
        <v/>
      </c>
      <c r="T33" s="31">
        <f>IF(OR($B12="",T$5="",T$7="休業",T12="－"),"",IF(T12="",1,IFERROR(VLOOKUP(SUBSTITUTE(SUBSTITUTE(T12,"(",""),")",""),SYM_TBL,3,0),1)))</f>
        <v/>
      </c>
      <c r="U33" s="31">
        <f>IF(OR($B12="",U$5="",U$7="休業",U12="－"),"",IF(U12="",1,IFERROR(VLOOKUP(SUBSTITUTE(SUBSTITUTE(U12,"(",""),")",""),SYM_TBL,3,0),1)))</f>
        <v/>
      </c>
      <c r="V33" s="31">
        <f>IF(OR($B12="",V$5="",V$7="休業",V12="－"),"",IF(V12="",1,IFERROR(VLOOKUP(SUBSTITUTE(SUBSTITUTE(V12,"(",""),")",""),SYM_TBL,3,0),1)))</f>
        <v/>
      </c>
      <c r="W33" s="31">
        <f>IF(OR($B12="",W$5="",W$7="休業",W12="－"),"",IF(W12="",1,IFERROR(VLOOKUP(SUBSTITUTE(SUBSTITUTE(W12,"(",""),")",""),SYM_TBL,3,0),1)))</f>
        <v/>
      </c>
      <c r="X33" s="31">
        <f>IF(OR($B12="",X$5="",X$7="休業",X12="－"),"",IF(X12="",1,IFERROR(VLOOKUP(SUBSTITUTE(SUBSTITUTE(X12,"(",""),")",""),SYM_TBL,3,0),1)))</f>
        <v/>
      </c>
      <c r="Y33" s="31">
        <f>IF(OR($B12="",Y$5="",Y$7="休業",Y12="－"),"",IF(Y12="",1,IFERROR(VLOOKUP(SUBSTITUTE(SUBSTITUTE(Y12,"(",""),")",""),SYM_TBL,3,0),1)))</f>
        <v/>
      </c>
      <c r="Z33" s="31">
        <f>IF(OR($B12="",Z$5="",Z$7="休業",Z12="－"),"",IF(Z12="",1,IFERROR(VLOOKUP(SUBSTITUTE(SUBSTITUTE(Z12,"(",""),")",""),SYM_TBL,3,0),1)))</f>
        <v/>
      </c>
      <c r="AA33" s="31">
        <f>IF(OR($B12="",AA$5="",AA$7="休業",AA12="－"),"",IF(AA12="",1,IFERROR(VLOOKUP(SUBSTITUTE(SUBSTITUTE(AA12,"(",""),")",""),SYM_TBL,3,0),1)))</f>
        <v/>
      </c>
      <c r="AB33" s="31">
        <f>IF(OR($B12="",AB$5="",AB$7="休業",AB12="－"),"",IF(AB12="",1,IFERROR(VLOOKUP(SUBSTITUTE(SUBSTITUTE(AB12,"(",""),")",""),SYM_TBL,3,0),1)))</f>
        <v/>
      </c>
      <c r="AC33" s="31">
        <f>IF(OR($B12="",AC$5="",AC$7="休業",AC12="－"),"",IF(AC12="",1,IFERROR(VLOOKUP(SUBSTITUTE(SUBSTITUTE(AC12,"(",""),")",""),SYM_TBL,3,0),1)))</f>
        <v/>
      </c>
      <c r="AD33" s="31">
        <f>IF(OR($B12="",AD$5="",AD$7="休業",AD12="－"),"",IF(AD12="",1,IFERROR(VLOOKUP(SUBSTITUTE(SUBSTITUTE(AD12,"(",""),")",""),SYM_TBL,3,0),1)))</f>
        <v/>
      </c>
      <c r="AE33" s="31">
        <f>IF(OR($B12="",AE$5="",AE$7="休業",AE12="－"),"",IF(AE12="",1,IFERROR(VLOOKUP(SUBSTITUTE(SUBSTITUTE(AE12,"(",""),")",""),SYM_TBL,3,0),1)))</f>
        <v/>
      </c>
      <c r="AF33" s="31">
        <f>IF(OR($B12="",AF$5="",AF$7="休業",AF12="－"),"",IF(AF12="",1,IFERROR(VLOOKUP(SUBSTITUTE(SUBSTITUTE(AF12,"(",""),")",""),SYM_TBL,3,0),1)))</f>
        <v/>
      </c>
      <c r="AG33" s="31">
        <f>IF(OR($B12="",AG$5="",AG$7="休業",AG12="－"),"",IF(AG12="",1,IFERROR(VLOOKUP(SUBSTITUTE(SUBSTITUTE(AG12,"(",""),")",""),SYM_TBL,3,0),1)))</f>
        <v/>
      </c>
      <c r="AH33" s="31">
        <f>IF(OR($B12="",AH$5="",AH$7="休業",AH12="－"),"",IF(AH12="",1,IFERROR(VLOOKUP(SUBSTITUTE(SUBSTITUTE(AH12,"(",""),")",""),SYM_TBL,3,0),1)))</f>
        <v/>
      </c>
    </row>
    <row r="34">
      <c r="B34" s="29">
        <f>B13</f>
        <v/>
      </c>
      <c r="C34" s="30" t="inlineStr">
        <is>
          <t>申請中込</t>
        </is>
      </c>
      <c r="D34" s="31">
        <f>IF(OR($B13="",D$5="",D$7="休業",D13="－"),"",IF(D13="",1,IFERROR(VLOOKUP(SUBSTITUTE(SUBSTITUTE(D13,"(",""),")",""),SYM_TBL,3,0),1)))</f>
        <v/>
      </c>
      <c r="E34" s="31">
        <f>IF(OR($B13="",E$5="",E$7="休業",E13="－"),"",IF(E13="",1,IFERROR(VLOOKUP(SUBSTITUTE(SUBSTITUTE(E13,"(",""),")",""),SYM_TBL,3,0),1)))</f>
        <v/>
      </c>
      <c r="F34" s="31">
        <f>IF(OR($B13="",F$5="",F$7="休業",F13="－"),"",IF(F13="",1,IFERROR(VLOOKUP(SUBSTITUTE(SUBSTITUTE(F13,"(",""),")",""),SYM_TBL,3,0),1)))</f>
        <v/>
      </c>
      <c r="G34" s="31">
        <f>IF(OR($B13="",G$5="",G$7="休業",G13="－"),"",IF(G13="",1,IFERROR(VLOOKUP(SUBSTITUTE(SUBSTITUTE(G13,"(",""),")",""),SYM_TBL,3,0),1)))</f>
        <v/>
      </c>
      <c r="H34" s="31">
        <f>IF(OR($B13="",H$5="",H$7="休業",H13="－"),"",IF(H13="",1,IFERROR(VLOOKUP(SUBSTITUTE(SUBSTITUTE(H13,"(",""),")",""),SYM_TBL,3,0),1)))</f>
        <v/>
      </c>
      <c r="I34" s="31">
        <f>IF(OR($B13="",I$5="",I$7="休業",I13="－"),"",IF(I13="",1,IFERROR(VLOOKUP(SUBSTITUTE(SUBSTITUTE(I13,"(",""),")",""),SYM_TBL,3,0),1)))</f>
        <v/>
      </c>
      <c r="J34" s="31">
        <f>IF(OR($B13="",J$5="",J$7="休業",J13="－"),"",IF(J13="",1,IFERROR(VLOOKUP(SUBSTITUTE(SUBSTITUTE(J13,"(",""),")",""),SYM_TBL,3,0),1)))</f>
        <v/>
      </c>
      <c r="K34" s="31">
        <f>IF(OR($B13="",K$5="",K$7="休業",K13="－"),"",IF(K13="",1,IFERROR(VLOOKUP(SUBSTITUTE(SUBSTITUTE(K13,"(",""),")",""),SYM_TBL,3,0),1)))</f>
        <v/>
      </c>
      <c r="L34" s="31">
        <f>IF(OR($B13="",L$5="",L$7="休業",L13="－"),"",IF(L13="",1,IFERROR(VLOOKUP(SUBSTITUTE(SUBSTITUTE(L13,"(",""),")",""),SYM_TBL,3,0),1)))</f>
        <v/>
      </c>
      <c r="M34" s="31">
        <f>IF(OR($B13="",M$5="",M$7="休業",M13="－"),"",IF(M13="",1,IFERROR(VLOOKUP(SUBSTITUTE(SUBSTITUTE(M13,"(",""),")",""),SYM_TBL,3,0),1)))</f>
        <v/>
      </c>
      <c r="N34" s="31">
        <f>IF(OR($B13="",N$5="",N$7="休業",N13="－"),"",IF(N13="",1,IFERROR(VLOOKUP(SUBSTITUTE(SUBSTITUTE(N13,"(",""),")",""),SYM_TBL,3,0),1)))</f>
        <v/>
      </c>
      <c r="O34" s="31">
        <f>IF(OR($B13="",O$5="",O$7="休業",O13="－"),"",IF(O13="",1,IFERROR(VLOOKUP(SUBSTITUTE(SUBSTITUTE(O13,"(",""),")",""),SYM_TBL,3,0),1)))</f>
        <v/>
      </c>
      <c r="P34" s="31">
        <f>IF(OR($B13="",P$5="",P$7="休業",P13="－"),"",IF(P13="",1,IFERROR(VLOOKUP(SUBSTITUTE(SUBSTITUTE(P13,"(",""),")",""),SYM_TBL,3,0),1)))</f>
        <v/>
      </c>
      <c r="Q34" s="31">
        <f>IF(OR($B13="",Q$5="",Q$7="休業",Q13="－"),"",IF(Q13="",1,IFERROR(VLOOKUP(SUBSTITUTE(SUBSTITUTE(Q13,"(",""),")",""),SYM_TBL,3,0),1)))</f>
        <v/>
      </c>
      <c r="R34" s="31">
        <f>IF(OR($B13="",R$5="",R$7="休業",R13="－"),"",IF(R13="",1,IFERROR(VLOOKUP(SUBSTITUTE(SUBSTITUTE(R13,"(",""),")",""),SYM_TBL,3,0),1)))</f>
        <v/>
      </c>
      <c r="S34" s="31">
        <f>IF(OR($B13="",S$5="",S$7="休業",S13="－"),"",IF(S13="",1,IFERROR(VLOOKUP(SUBSTITUTE(SUBSTITUTE(S13,"(",""),")",""),SYM_TBL,3,0),1)))</f>
        <v/>
      </c>
      <c r="T34" s="31">
        <f>IF(OR($B13="",T$5="",T$7="休業",T13="－"),"",IF(T13="",1,IFERROR(VLOOKUP(SUBSTITUTE(SUBSTITUTE(T13,"(",""),")",""),SYM_TBL,3,0),1)))</f>
        <v/>
      </c>
      <c r="U34" s="31">
        <f>IF(OR($B13="",U$5="",U$7="休業",U13="－"),"",IF(U13="",1,IFERROR(VLOOKUP(SUBSTITUTE(SUBSTITUTE(U13,"(",""),")",""),SYM_TBL,3,0),1)))</f>
        <v/>
      </c>
      <c r="V34" s="31">
        <f>IF(OR($B13="",V$5="",V$7="休業",V13="－"),"",IF(V13="",1,IFERROR(VLOOKUP(SUBSTITUTE(SUBSTITUTE(V13,"(",""),")",""),SYM_TBL,3,0),1)))</f>
        <v/>
      </c>
      <c r="W34" s="31">
        <f>IF(OR($B13="",W$5="",W$7="休業",W13="－"),"",IF(W13="",1,IFERROR(VLOOKUP(SUBSTITUTE(SUBSTITUTE(W13,"(",""),")",""),SYM_TBL,3,0),1)))</f>
        <v/>
      </c>
      <c r="X34" s="31">
        <f>IF(OR($B13="",X$5="",X$7="休業",X13="－"),"",IF(X13="",1,IFERROR(VLOOKUP(SUBSTITUTE(SUBSTITUTE(X13,"(",""),")",""),SYM_TBL,3,0),1)))</f>
        <v/>
      </c>
      <c r="Y34" s="31">
        <f>IF(OR($B13="",Y$5="",Y$7="休業",Y13="－"),"",IF(Y13="",1,IFERROR(VLOOKUP(SUBSTITUTE(SUBSTITUTE(Y13,"(",""),")",""),SYM_TBL,3,0),1)))</f>
        <v/>
      </c>
      <c r="Z34" s="31">
        <f>IF(OR($B13="",Z$5="",Z$7="休業",Z13="－"),"",IF(Z13="",1,IFERROR(VLOOKUP(SUBSTITUTE(SUBSTITUTE(Z13,"(",""),")",""),SYM_TBL,3,0),1)))</f>
        <v/>
      </c>
      <c r="AA34" s="31">
        <f>IF(OR($B13="",AA$5="",AA$7="休業",AA13="－"),"",IF(AA13="",1,IFERROR(VLOOKUP(SUBSTITUTE(SUBSTITUTE(AA13,"(",""),")",""),SYM_TBL,3,0),1)))</f>
        <v/>
      </c>
      <c r="AB34" s="31">
        <f>IF(OR($B13="",AB$5="",AB$7="休業",AB13="－"),"",IF(AB13="",1,IFERROR(VLOOKUP(SUBSTITUTE(SUBSTITUTE(AB13,"(",""),")",""),SYM_TBL,3,0),1)))</f>
        <v/>
      </c>
      <c r="AC34" s="31">
        <f>IF(OR($B13="",AC$5="",AC$7="休業",AC13="－"),"",IF(AC13="",1,IFERROR(VLOOKUP(SUBSTITUTE(SUBSTITUTE(AC13,"(",""),")",""),SYM_TBL,3,0),1)))</f>
        <v/>
      </c>
      <c r="AD34" s="31">
        <f>IF(OR($B13="",AD$5="",AD$7="休業",AD13="－"),"",IF(AD13="",1,IFERROR(VLOOKUP(SUBSTITUTE(SUBSTITUTE(AD13,"(",""),")",""),SYM_TBL,3,0),1)))</f>
        <v/>
      </c>
      <c r="AE34" s="31">
        <f>IF(OR($B13="",AE$5="",AE$7="休業",AE13="－"),"",IF(AE13="",1,IFERROR(VLOOKUP(SUBSTITUTE(SUBSTITUTE(AE13,"(",""),")",""),SYM_TBL,3,0),1)))</f>
        <v/>
      </c>
      <c r="AF34" s="31">
        <f>IF(OR($B13="",AF$5="",AF$7="休業",AF13="－"),"",IF(AF13="",1,IFERROR(VLOOKUP(SUBSTITUTE(SUBSTITUTE(AF13,"(",""),")",""),SYM_TBL,3,0),1)))</f>
        <v/>
      </c>
      <c r="AG34" s="31">
        <f>IF(OR($B13="",AG$5="",AG$7="休業",AG13="－"),"",IF(AG13="",1,IFERROR(VLOOKUP(SUBSTITUTE(SUBSTITUTE(AG13,"(",""),")",""),SYM_TBL,3,0),1)))</f>
        <v/>
      </c>
      <c r="AH34" s="31">
        <f>IF(OR($B13="",AH$5="",AH$7="休業",AH13="－"),"",IF(AH13="",1,IFERROR(VLOOKUP(SUBSTITUTE(SUBSTITUTE(AH13,"(",""),")",""),SYM_TBL,3,0),1)))</f>
        <v/>
      </c>
    </row>
  </sheetData>
  <mergeCells count="16">
    <mergeCell ref="B16:C16"/>
    <mergeCell ref="B22:L22"/>
    <mergeCell ref="B15:C15"/>
    <mergeCell ref="AK5:AK7"/>
    <mergeCell ref="AM5:AM7"/>
    <mergeCell ref="B19:C19"/>
    <mergeCell ref="L3:O3"/>
    <mergeCell ref="B20:C20"/>
    <mergeCell ref="B17:C17"/>
    <mergeCell ref="C5:C7"/>
    <mergeCell ref="AJ5:AJ7"/>
    <mergeCell ref="H3:J3"/>
    <mergeCell ref="B18:C18"/>
    <mergeCell ref="AL5:AL7"/>
    <mergeCell ref="E3:F3"/>
    <mergeCell ref="B5:B7"/>
  </mergeCells>
  <conditionalFormatting sqref="D5:AH20">
    <cfRule type="expression" priority="1" dxfId="0" stopIfTrue="1">
      <formula>D$7="休業"</formula>
    </cfRule>
  </conditionalFormatting>
  <conditionalFormatting sqref="D6:AH6">
    <cfRule type="expression" priority="2" dxfId="1">
      <formula>D6="日"</formula>
    </cfRule>
    <cfRule type="expression" priority="3" dxfId="2">
      <formula>D6="土"</formula>
    </cfRule>
  </conditionalFormatting>
  <conditionalFormatting sqref="D8:AH13">
    <cfRule type="expression" priority="4" dxfId="3" stopIfTrue="1">
      <formula>LEFT(D8,1)="("</formula>
    </cfRule>
    <cfRule type="expression" priority="5" dxfId="4">
      <formula>OR(D8="有",D8="休",D8="特",D8="代",D8="欠")</formula>
    </cfRule>
    <cfRule type="expression" priority="6" dxfId="5">
      <formula>OR(D8="午前",D8="午後")</formula>
    </cfRule>
    <cfRule type="expression" priority="7" dxfId="6">
      <formula>OR(D8="在",D8="外")</formula>
    </cfRule>
    <cfRule type="expression" priority="8" dxfId="7">
      <formula>D8="－"</formula>
    </cfRule>
  </conditionalFormatting>
  <conditionalFormatting sqref="D18:AH18">
    <cfRule type="cellIs" priority="9" operator="equal" dxfId="8">
      <formula>"NG"</formula>
    </cfRule>
    <cfRule type="cellIs" priority="10" operator="equal" dxfId="9">
      <formula>"OK"</formula>
    </cfRule>
  </conditionalFormatting>
  <conditionalFormatting sqref="D20:AH20">
    <cfRule type="cellIs" priority="11" operator="equal" dxfId="10">
      <formula>"要注意"</formula>
    </cfRule>
    <cfRule type="cellIs" priority="12" operator="equal" dxfId="9">
      <formula>"OK"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M204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11" customWidth="1" min="2" max="2"/>
    <col width="12" customWidth="1" min="3" max="3"/>
    <col width="11" customWidth="1" min="4" max="4"/>
    <col width="8" customWidth="1" min="5" max="5"/>
    <col width="28" customWidth="1" min="6" max="6"/>
    <col width="9" customWidth="1" min="7" max="7"/>
    <col width="10" customWidth="1" min="8" max="8"/>
    <col width="10" customWidth="1" min="9" max="9"/>
    <col width="9" customWidth="1" min="10" max="10"/>
    <col width="12" customWidth="1" min="11" max="11"/>
    <col width="18" customWidth="1" min="12" max="12"/>
    <col width="18" customWidth="1" min="13" max="13"/>
  </cols>
  <sheetData>
    <row r="1">
      <c r="B1" s="1" t="inlineStr">
        <is>
          <t>休暇申請（ここだけ入力する）</t>
        </is>
      </c>
    </row>
    <row r="2">
      <c r="B2" s="2" t="inlineStr">
        <is>
          <t>1休暇につき1行。連休は日ごとに1行。状態を「承認」にするとシフト表・有給管理に反映される。</t>
        </is>
      </c>
    </row>
    <row r="3">
      <c r="B3" s="2" t="inlineStr">
        <is>
          <t>黄色 = 入力      灰色 = 自動（触らない）</t>
        </is>
      </c>
    </row>
    <row r="4" ht="30" customHeight="1">
      <c r="B4" s="13" t="inlineStr">
        <is>
          <t>申請日</t>
        </is>
      </c>
      <c r="C4" s="13" t="inlineStr">
        <is>
          <t>氏名</t>
        </is>
      </c>
      <c r="D4" s="13" t="inlineStr">
        <is>
          <t>休暇日</t>
        </is>
      </c>
      <c r="E4" s="13" t="inlineStr">
        <is>
          <t>種別</t>
        </is>
      </c>
      <c r="F4" s="13" t="inlineStr">
        <is>
          <t>理由・備考</t>
        </is>
      </c>
      <c r="G4" s="13" t="inlineStr">
        <is>
          <t>状態</t>
        </is>
      </c>
      <c r="H4" s="13" t="inlineStr">
        <is>
          <t>承認者</t>
        </is>
      </c>
      <c r="I4" s="13" t="inlineStr">
        <is>
          <t>同日の他の休み</t>
        </is>
      </c>
      <c r="J4" s="13" t="inlineStr">
        <is>
          <t>出勤見込み</t>
        </is>
      </c>
      <c r="K4" s="13" t="inlineStr">
        <is>
          <t>判定</t>
        </is>
      </c>
      <c r="L4" s="13" t="inlineStr">
        <is>
          <t>キー(承認)</t>
        </is>
      </c>
      <c r="M4" s="13" t="inlineStr">
        <is>
          <t>キー(申請中)</t>
        </is>
      </c>
    </row>
    <row r="5">
      <c r="B5" s="32" t="n">
        <v>46266</v>
      </c>
      <c r="C5" s="33" t="inlineStr">
        <is>
          <t>正社員A</t>
        </is>
      </c>
      <c r="D5" s="32" t="n">
        <v>46275</v>
      </c>
      <c r="E5" s="34" t="inlineStr">
        <is>
          <t>有</t>
        </is>
      </c>
      <c r="F5" s="33" t="inlineStr">
        <is>
          <t>私用</t>
        </is>
      </c>
      <c r="G5" s="34" t="inlineStr">
        <is>
          <t>承認</t>
        </is>
      </c>
      <c r="H5" s="33" t="inlineStr">
        <is>
          <t>正社員B</t>
        </is>
      </c>
      <c r="I5" s="22">
        <f>IF(D5="","",COUNTIFS(LOG_DATE,D5,LOG_STATE,"承認")+COUNTIFS(LOG_DATE,D5,LOG_STATE,"申請中")-IF(G5="却下",0,1))</f>
        <v/>
      </c>
      <c r="J5" s="22">
        <f>IF(D5="","",IFERROR(SUMPRODUCT((INDEX(STAFF_DAYS,0,WEEKDAY(D5,2))="○")*1)-I5-IF(G5="却下",0,1),"日付を確認"))</f>
        <v/>
      </c>
      <c r="K5" s="27">
        <f>IF(D5="","",IFERROR(IF(OR(INDEX(BIZ_DAYS,WEEKDAY(D5,2))="×",COUNTIF(HOLIDAYS,D5)&gt;0),"休業日",IF(J5&lt;MIN_ALL,"要確認","OK")),"日付を確認"))</f>
        <v/>
      </c>
      <c r="L5" s="29">
        <f>IF(AND(G5="承認",C5&lt;&gt;"",D5&lt;&gt;""),C5&amp;"|"&amp;TEXT(D5,"yyyymmdd"),"")</f>
        <v/>
      </c>
      <c r="M5" s="29">
        <f>IF(AND(G5="申請中",C5&lt;&gt;"",D5&lt;&gt;""),C5&amp;"|"&amp;TEXT(D5,"yyyymmdd"),"")</f>
        <v/>
      </c>
    </row>
    <row r="6">
      <c r="B6" s="32" t="n">
        <v>46267</v>
      </c>
      <c r="C6" s="33" t="inlineStr">
        <is>
          <t>派遣A</t>
        </is>
      </c>
      <c r="D6" s="32" t="n">
        <v>46275</v>
      </c>
      <c r="E6" s="34" t="inlineStr">
        <is>
          <t>有</t>
        </is>
      </c>
      <c r="F6" s="33" t="inlineStr">
        <is>
          <t>通院</t>
        </is>
      </c>
      <c r="G6" s="34" t="inlineStr">
        <is>
          <t>申請中</t>
        </is>
      </c>
      <c r="H6" s="33" t="inlineStr"/>
      <c r="I6" s="22">
        <f>IF(D6="","",COUNTIFS(LOG_DATE,D6,LOG_STATE,"承認")+COUNTIFS(LOG_DATE,D6,LOG_STATE,"申請中")-IF(G6="却下",0,1))</f>
        <v/>
      </c>
      <c r="J6" s="22">
        <f>IF(D6="","",IFERROR(SUMPRODUCT((INDEX(STAFF_DAYS,0,WEEKDAY(D6,2))="○")*1)-I6-IF(G6="却下",0,1),"日付を確認"))</f>
        <v/>
      </c>
      <c r="K6" s="27">
        <f>IF(D6="","",IFERROR(IF(OR(INDEX(BIZ_DAYS,WEEKDAY(D6,2))="×",COUNTIF(HOLIDAYS,D6)&gt;0),"休業日",IF(J6&lt;MIN_ALL,"要確認","OK")),"日付を確認"))</f>
        <v/>
      </c>
      <c r="L6" s="29">
        <f>IF(AND(G6="承認",C6&lt;&gt;"",D6&lt;&gt;""),C6&amp;"|"&amp;TEXT(D6,"yyyymmdd"),"")</f>
        <v/>
      </c>
      <c r="M6" s="29">
        <f>IF(AND(G6="申請中",C6&lt;&gt;"",D6&lt;&gt;""),C6&amp;"|"&amp;TEXT(D6,"yyyymmdd"),"")</f>
        <v/>
      </c>
    </row>
    <row r="7">
      <c r="B7" s="32" t="n">
        <v>46267</v>
      </c>
      <c r="C7" s="33" t="inlineStr">
        <is>
          <t>正社員B</t>
        </is>
      </c>
      <c r="D7" s="32" t="n">
        <v>46280</v>
      </c>
      <c r="E7" s="34" t="inlineStr">
        <is>
          <t>午前</t>
        </is>
      </c>
      <c r="F7" s="33" t="inlineStr">
        <is>
          <t>役所手続き</t>
        </is>
      </c>
      <c r="G7" s="34" t="inlineStr">
        <is>
          <t>承認</t>
        </is>
      </c>
      <c r="H7" s="33" t="inlineStr">
        <is>
          <t>正社員A</t>
        </is>
      </c>
      <c r="I7" s="22">
        <f>IF(D7="","",COUNTIFS(LOG_DATE,D7,LOG_STATE,"承認")+COUNTIFS(LOG_DATE,D7,LOG_STATE,"申請中")-IF(G7="却下",0,1))</f>
        <v/>
      </c>
      <c r="J7" s="22">
        <f>IF(D7="","",IFERROR(SUMPRODUCT((INDEX(STAFF_DAYS,0,WEEKDAY(D7,2))="○")*1)-I7-IF(G7="却下",0,1),"日付を確認"))</f>
        <v/>
      </c>
      <c r="K7" s="27">
        <f>IF(D7="","",IFERROR(IF(OR(INDEX(BIZ_DAYS,WEEKDAY(D7,2))="×",COUNTIF(HOLIDAYS,D7)&gt;0),"休業日",IF(J7&lt;MIN_ALL,"要確認","OK")),"日付を確認"))</f>
        <v/>
      </c>
      <c r="L7" s="29">
        <f>IF(AND(G7="承認",C7&lt;&gt;"",D7&lt;&gt;""),C7&amp;"|"&amp;TEXT(D7,"yyyymmdd"),"")</f>
        <v/>
      </c>
      <c r="M7" s="29">
        <f>IF(AND(G7="申請中",C7&lt;&gt;"",D7&lt;&gt;""),C7&amp;"|"&amp;TEXT(D7,"yyyymmdd"),"")</f>
        <v/>
      </c>
    </row>
    <row r="8">
      <c r="B8" s="32" t="n">
        <v>46267</v>
      </c>
      <c r="C8" s="33" t="inlineStr">
        <is>
          <t>派遣B</t>
        </is>
      </c>
      <c r="D8" s="32" t="n">
        <v>46275</v>
      </c>
      <c r="E8" s="34" t="inlineStr">
        <is>
          <t>休</t>
        </is>
      </c>
      <c r="F8" s="33" t="inlineStr">
        <is>
          <t>私用（希望休）</t>
        </is>
      </c>
      <c r="G8" s="34" t="inlineStr">
        <is>
          <t>申請中</t>
        </is>
      </c>
      <c r="H8" s="33" t="inlineStr"/>
      <c r="I8" s="22">
        <f>IF(D8="","",COUNTIFS(LOG_DATE,D8,LOG_STATE,"承認")+COUNTIFS(LOG_DATE,D8,LOG_STATE,"申請中")-IF(G8="却下",0,1))</f>
        <v/>
      </c>
      <c r="J8" s="22">
        <f>IF(D8="","",IFERROR(SUMPRODUCT((INDEX(STAFF_DAYS,0,WEEKDAY(D8,2))="○")*1)-I8-IF(G8="却下",0,1),"日付を確認"))</f>
        <v/>
      </c>
      <c r="K8" s="27">
        <f>IF(D8="","",IFERROR(IF(OR(INDEX(BIZ_DAYS,WEEKDAY(D8,2))="×",COUNTIF(HOLIDAYS,D8)&gt;0),"休業日",IF(J8&lt;MIN_ALL,"要確認","OK")),"日付を確認"))</f>
        <v/>
      </c>
      <c r="L8" s="29">
        <f>IF(AND(G8="承認",C8&lt;&gt;"",D8&lt;&gt;""),C8&amp;"|"&amp;TEXT(D8,"yyyymmdd"),"")</f>
        <v/>
      </c>
      <c r="M8" s="29">
        <f>IF(AND(G8="申請中",C8&lt;&gt;"",D8&lt;&gt;""),C8&amp;"|"&amp;TEXT(D8,"yyyymmdd"),"")</f>
        <v/>
      </c>
    </row>
    <row r="9">
      <c r="B9" s="32" t="n"/>
      <c r="C9" s="33" t="n"/>
      <c r="D9" s="32" t="n"/>
      <c r="E9" s="34" t="n"/>
      <c r="F9" s="33" t="n"/>
      <c r="G9" s="34" t="n"/>
      <c r="H9" s="33" t="n"/>
      <c r="I9" s="22">
        <f>IF(D9="","",COUNTIFS(LOG_DATE,D9,LOG_STATE,"承認")+COUNTIFS(LOG_DATE,D9,LOG_STATE,"申請中")-IF(G9="却下",0,1))</f>
        <v/>
      </c>
      <c r="J9" s="22">
        <f>IF(D9="","",IFERROR(SUMPRODUCT((INDEX(STAFF_DAYS,0,WEEKDAY(D9,2))="○")*1)-I9-IF(G9="却下",0,1),"日付を確認"))</f>
        <v/>
      </c>
      <c r="K9" s="27">
        <f>IF(D9="","",IFERROR(IF(OR(INDEX(BIZ_DAYS,WEEKDAY(D9,2))="×",COUNTIF(HOLIDAYS,D9)&gt;0),"休業日",IF(J9&lt;MIN_ALL,"要確認","OK")),"日付を確認"))</f>
        <v/>
      </c>
      <c r="L9" s="29">
        <f>IF(AND(G9="承認",C9&lt;&gt;"",D9&lt;&gt;""),C9&amp;"|"&amp;TEXT(D9,"yyyymmdd"),"")</f>
        <v/>
      </c>
      <c r="M9" s="29">
        <f>IF(AND(G9="申請中",C9&lt;&gt;"",D9&lt;&gt;""),C9&amp;"|"&amp;TEXT(D9,"yyyymmdd"),"")</f>
        <v/>
      </c>
    </row>
    <row r="10">
      <c r="B10" s="32" t="n"/>
      <c r="C10" s="33" t="n"/>
      <c r="D10" s="32" t="n"/>
      <c r="E10" s="34" t="n"/>
      <c r="F10" s="33" t="n"/>
      <c r="G10" s="34" t="n"/>
      <c r="H10" s="33" t="n"/>
      <c r="I10" s="22">
        <f>IF(D10="","",COUNTIFS(LOG_DATE,D10,LOG_STATE,"承認")+COUNTIFS(LOG_DATE,D10,LOG_STATE,"申請中")-IF(G10="却下",0,1))</f>
        <v/>
      </c>
      <c r="J10" s="22">
        <f>IF(D10="","",IFERROR(SUMPRODUCT((INDEX(STAFF_DAYS,0,WEEKDAY(D10,2))="○")*1)-I10-IF(G10="却下",0,1),"日付を確認"))</f>
        <v/>
      </c>
      <c r="K10" s="27">
        <f>IF(D10="","",IFERROR(IF(OR(INDEX(BIZ_DAYS,WEEKDAY(D10,2))="×",COUNTIF(HOLIDAYS,D10)&gt;0),"休業日",IF(J10&lt;MIN_ALL,"要確認","OK")),"日付を確認"))</f>
        <v/>
      </c>
      <c r="L10" s="29">
        <f>IF(AND(G10="承認",C10&lt;&gt;"",D10&lt;&gt;""),C10&amp;"|"&amp;TEXT(D10,"yyyymmdd"),"")</f>
        <v/>
      </c>
      <c r="M10" s="29">
        <f>IF(AND(G10="申請中",C10&lt;&gt;"",D10&lt;&gt;""),C10&amp;"|"&amp;TEXT(D10,"yyyymmdd"),"")</f>
        <v/>
      </c>
    </row>
    <row r="11">
      <c r="B11" s="32" t="n"/>
      <c r="C11" s="33" t="n"/>
      <c r="D11" s="32" t="n"/>
      <c r="E11" s="34" t="n"/>
      <c r="F11" s="33" t="n"/>
      <c r="G11" s="34" t="n"/>
      <c r="H11" s="33" t="n"/>
      <c r="I11" s="22">
        <f>IF(D11="","",COUNTIFS(LOG_DATE,D11,LOG_STATE,"承認")+COUNTIFS(LOG_DATE,D11,LOG_STATE,"申請中")-IF(G11="却下",0,1))</f>
        <v/>
      </c>
      <c r="J11" s="22">
        <f>IF(D11="","",IFERROR(SUMPRODUCT((INDEX(STAFF_DAYS,0,WEEKDAY(D11,2))="○")*1)-I11-IF(G11="却下",0,1),"日付を確認"))</f>
        <v/>
      </c>
      <c r="K11" s="27">
        <f>IF(D11="","",IFERROR(IF(OR(INDEX(BIZ_DAYS,WEEKDAY(D11,2))="×",COUNTIF(HOLIDAYS,D11)&gt;0),"休業日",IF(J11&lt;MIN_ALL,"要確認","OK")),"日付を確認"))</f>
        <v/>
      </c>
      <c r="L11" s="29">
        <f>IF(AND(G11="承認",C11&lt;&gt;"",D11&lt;&gt;""),C11&amp;"|"&amp;TEXT(D11,"yyyymmdd"),"")</f>
        <v/>
      </c>
      <c r="M11" s="29">
        <f>IF(AND(G11="申請中",C11&lt;&gt;"",D11&lt;&gt;""),C11&amp;"|"&amp;TEXT(D11,"yyyymmdd"),"")</f>
        <v/>
      </c>
    </row>
    <row r="12">
      <c r="B12" s="32" t="n"/>
      <c r="C12" s="33" t="n"/>
      <c r="D12" s="32" t="n"/>
      <c r="E12" s="34" t="n"/>
      <c r="F12" s="33" t="n"/>
      <c r="G12" s="34" t="n"/>
      <c r="H12" s="33" t="n"/>
      <c r="I12" s="22">
        <f>IF(D12="","",COUNTIFS(LOG_DATE,D12,LOG_STATE,"承認")+COUNTIFS(LOG_DATE,D12,LOG_STATE,"申請中")-IF(G12="却下",0,1))</f>
        <v/>
      </c>
      <c r="J12" s="22">
        <f>IF(D12="","",IFERROR(SUMPRODUCT((INDEX(STAFF_DAYS,0,WEEKDAY(D12,2))="○")*1)-I12-IF(G12="却下",0,1),"日付を確認"))</f>
        <v/>
      </c>
      <c r="K12" s="27">
        <f>IF(D12="","",IFERROR(IF(OR(INDEX(BIZ_DAYS,WEEKDAY(D12,2))="×",COUNTIF(HOLIDAYS,D12)&gt;0),"休業日",IF(J12&lt;MIN_ALL,"要確認","OK")),"日付を確認"))</f>
        <v/>
      </c>
      <c r="L12" s="29">
        <f>IF(AND(G12="承認",C12&lt;&gt;"",D12&lt;&gt;""),C12&amp;"|"&amp;TEXT(D12,"yyyymmdd"),"")</f>
        <v/>
      </c>
      <c r="M12" s="29">
        <f>IF(AND(G12="申請中",C12&lt;&gt;"",D12&lt;&gt;""),C12&amp;"|"&amp;TEXT(D12,"yyyymmdd"),"")</f>
        <v/>
      </c>
    </row>
    <row r="13">
      <c r="B13" s="32" t="n"/>
      <c r="C13" s="33" t="n"/>
      <c r="D13" s="32" t="n"/>
      <c r="E13" s="34" t="n"/>
      <c r="F13" s="33" t="n"/>
      <c r="G13" s="34" t="n"/>
      <c r="H13" s="33" t="n"/>
      <c r="I13" s="22">
        <f>IF(D13="","",COUNTIFS(LOG_DATE,D13,LOG_STATE,"承認")+COUNTIFS(LOG_DATE,D13,LOG_STATE,"申請中")-IF(G13="却下",0,1))</f>
        <v/>
      </c>
      <c r="J13" s="22">
        <f>IF(D13="","",IFERROR(SUMPRODUCT((INDEX(STAFF_DAYS,0,WEEKDAY(D13,2))="○")*1)-I13-IF(G13="却下",0,1),"日付を確認"))</f>
        <v/>
      </c>
      <c r="K13" s="27">
        <f>IF(D13="","",IFERROR(IF(OR(INDEX(BIZ_DAYS,WEEKDAY(D13,2))="×",COUNTIF(HOLIDAYS,D13)&gt;0),"休業日",IF(J13&lt;MIN_ALL,"要確認","OK")),"日付を確認"))</f>
        <v/>
      </c>
      <c r="L13" s="29">
        <f>IF(AND(G13="承認",C13&lt;&gt;"",D13&lt;&gt;""),C13&amp;"|"&amp;TEXT(D13,"yyyymmdd"),"")</f>
        <v/>
      </c>
      <c r="M13" s="29">
        <f>IF(AND(G13="申請中",C13&lt;&gt;"",D13&lt;&gt;""),C13&amp;"|"&amp;TEXT(D13,"yyyymmdd"),"")</f>
        <v/>
      </c>
    </row>
    <row r="14">
      <c r="B14" s="32" t="n"/>
      <c r="C14" s="33" t="n"/>
      <c r="D14" s="32" t="n"/>
      <c r="E14" s="34" t="n"/>
      <c r="F14" s="33" t="n"/>
      <c r="G14" s="34" t="n"/>
      <c r="H14" s="33" t="n"/>
      <c r="I14" s="22">
        <f>IF(D14="","",COUNTIFS(LOG_DATE,D14,LOG_STATE,"承認")+COUNTIFS(LOG_DATE,D14,LOG_STATE,"申請中")-IF(G14="却下",0,1))</f>
        <v/>
      </c>
      <c r="J14" s="22">
        <f>IF(D14="","",IFERROR(SUMPRODUCT((INDEX(STAFF_DAYS,0,WEEKDAY(D14,2))="○")*1)-I14-IF(G14="却下",0,1),"日付を確認"))</f>
        <v/>
      </c>
      <c r="K14" s="27">
        <f>IF(D14="","",IFERROR(IF(OR(INDEX(BIZ_DAYS,WEEKDAY(D14,2))="×",COUNTIF(HOLIDAYS,D14)&gt;0),"休業日",IF(J14&lt;MIN_ALL,"要確認","OK")),"日付を確認"))</f>
        <v/>
      </c>
      <c r="L14" s="29">
        <f>IF(AND(G14="承認",C14&lt;&gt;"",D14&lt;&gt;""),C14&amp;"|"&amp;TEXT(D14,"yyyymmdd"),"")</f>
        <v/>
      </c>
      <c r="M14" s="29">
        <f>IF(AND(G14="申請中",C14&lt;&gt;"",D14&lt;&gt;""),C14&amp;"|"&amp;TEXT(D14,"yyyymmdd"),"")</f>
        <v/>
      </c>
    </row>
    <row r="15">
      <c r="B15" s="32" t="n"/>
      <c r="C15" s="33" t="n"/>
      <c r="D15" s="32" t="n"/>
      <c r="E15" s="34" t="n"/>
      <c r="F15" s="33" t="n"/>
      <c r="G15" s="34" t="n"/>
      <c r="H15" s="33" t="n"/>
      <c r="I15" s="22">
        <f>IF(D15="","",COUNTIFS(LOG_DATE,D15,LOG_STATE,"承認")+COUNTIFS(LOG_DATE,D15,LOG_STATE,"申請中")-IF(G15="却下",0,1))</f>
        <v/>
      </c>
      <c r="J15" s="22">
        <f>IF(D15="","",IFERROR(SUMPRODUCT((INDEX(STAFF_DAYS,0,WEEKDAY(D15,2))="○")*1)-I15-IF(G15="却下",0,1),"日付を確認"))</f>
        <v/>
      </c>
      <c r="K15" s="27">
        <f>IF(D15="","",IFERROR(IF(OR(INDEX(BIZ_DAYS,WEEKDAY(D15,2))="×",COUNTIF(HOLIDAYS,D15)&gt;0),"休業日",IF(J15&lt;MIN_ALL,"要確認","OK")),"日付を確認"))</f>
        <v/>
      </c>
      <c r="L15" s="29">
        <f>IF(AND(G15="承認",C15&lt;&gt;"",D15&lt;&gt;""),C15&amp;"|"&amp;TEXT(D15,"yyyymmdd"),"")</f>
        <v/>
      </c>
      <c r="M15" s="29">
        <f>IF(AND(G15="申請中",C15&lt;&gt;"",D15&lt;&gt;""),C15&amp;"|"&amp;TEXT(D15,"yyyymmdd"),"")</f>
        <v/>
      </c>
    </row>
    <row r="16">
      <c r="B16" s="32" t="n"/>
      <c r="C16" s="33" t="n"/>
      <c r="D16" s="32" t="n"/>
      <c r="E16" s="34" t="n"/>
      <c r="F16" s="33" t="n"/>
      <c r="G16" s="34" t="n"/>
      <c r="H16" s="33" t="n"/>
      <c r="I16" s="22">
        <f>IF(D16="","",COUNTIFS(LOG_DATE,D16,LOG_STATE,"承認")+COUNTIFS(LOG_DATE,D16,LOG_STATE,"申請中")-IF(G16="却下",0,1))</f>
        <v/>
      </c>
      <c r="J16" s="22">
        <f>IF(D16="","",IFERROR(SUMPRODUCT((INDEX(STAFF_DAYS,0,WEEKDAY(D16,2))="○")*1)-I16-IF(G16="却下",0,1),"日付を確認"))</f>
        <v/>
      </c>
      <c r="K16" s="27">
        <f>IF(D16="","",IFERROR(IF(OR(INDEX(BIZ_DAYS,WEEKDAY(D16,2))="×",COUNTIF(HOLIDAYS,D16)&gt;0),"休業日",IF(J16&lt;MIN_ALL,"要確認","OK")),"日付を確認"))</f>
        <v/>
      </c>
      <c r="L16" s="29">
        <f>IF(AND(G16="承認",C16&lt;&gt;"",D16&lt;&gt;""),C16&amp;"|"&amp;TEXT(D16,"yyyymmdd"),"")</f>
        <v/>
      </c>
      <c r="M16" s="29">
        <f>IF(AND(G16="申請中",C16&lt;&gt;"",D16&lt;&gt;""),C16&amp;"|"&amp;TEXT(D16,"yyyymmdd"),"")</f>
        <v/>
      </c>
    </row>
    <row r="17">
      <c r="B17" s="32" t="n"/>
      <c r="C17" s="33" t="n"/>
      <c r="D17" s="32" t="n"/>
      <c r="E17" s="34" t="n"/>
      <c r="F17" s="33" t="n"/>
      <c r="G17" s="34" t="n"/>
      <c r="H17" s="33" t="n"/>
      <c r="I17" s="22">
        <f>IF(D17="","",COUNTIFS(LOG_DATE,D17,LOG_STATE,"承認")+COUNTIFS(LOG_DATE,D17,LOG_STATE,"申請中")-IF(G17="却下",0,1))</f>
        <v/>
      </c>
      <c r="J17" s="22">
        <f>IF(D17="","",IFERROR(SUMPRODUCT((INDEX(STAFF_DAYS,0,WEEKDAY(D17,2))="○")*1)-I17-IF(G17="却下",0,1),"日付を確認"))</f>
        <v/>
      </c>
      <c r="K17" s="27">
        <f>IF(D17="","",IFERROR(IF(OR(INDEX(BIZ_DAYS,WEEKDAY(D17,2))="×",COUNTIF(HOLIDAYS,D17)&gt;0),"休業日",IF(J17&lt;MIN_ALL,"要確認","OK")),"日付を確認"))</f>
        <v/>
      </c>
      <c r="L17" s="29">
        <f>IF(AND(G17="承認",C17&lt;&gt;"",D17&lt;&gt;""),C17&amp;"|"&amp;TEXT(D17,"yyyymmdd"),"")</f>
        <v/>
      </c>
      <c r="M17" s="29">
        <f>IF(AND(G17="申請中",C17&lt;&gt;"",D17&lt;&gt;""),C17&amp;"|"&amp;TEXT(D17,"yyyymmdd"),"")</f>
        <v/>
      </c>
    </row>
    <row r="18">
      <c r="B18" s="32" t="n"/>
      <c r="C18" s="33" t="n"/>
      <c r="D18" s="32" t="n"/>
      <c r="E18" s="34" t="n"/>
      <c r="F18" s="33" t="n"/>
      <c r="G18" s="34" t="n"/>
      <c r="H18" s="33" t="n"/>
      <c r="I18" s="22">
        <f>IF(D18="","",COUNTIFS(LOG_DATE,D18,LOG_STATE,"承認")+COUNTIFS(LOG_DATE,D18,LOG_STATE,"申請中")-IF(G18="却下",0,1))</f>
        <v/>
      </c>
      <c r="J18" s="22">
        <f>IF(D18="","",IFERROR(SUMPRODUCT((INDEX(STAFF_DAYS,0,WEEKDAY(D18,2))="○")*1)-I18-IF(G18="却下",0,1),"日付を確認"))</f>
        <v/>
      </c>
      <c r="K18" s="27">
        <f>IF(D18="","",IFERROR(IF(OR(INDEX(BIZ_DAYS,WEEKDAY(D18,2))="×",COUNTIF(HOLIDAYS,D18)&gt;0),"休業日",IF(J18&lt;MIN_ALL,"要確認","OK")),"日付を確認"))</f>
        <v/>
      </c>
      <c r="L18" s="29">
        <f>IF(AND(G18="承認",C18&lt;&gt;"",D18&lt;&gt;""),C18&amp;"|"&amp;TEXT(D18,"yyyymmdd"),"")</f>
        <v/>
      </c>
      <c r="M18" s="29">
        <f>IF(AND(G18="申請中",C18&lt;&gt;"",D18&lt;&gt;""),C18&amp;"|"&amp;TEXT(D18,"yyyymmdd"),"")</f>
        <v/>
      </c>
    </row>
    <row r="19">
      <c r="B19" s="32" t="n"/>
      <c r="C19" s="33" t="n"/>
      <c r="D19" s="32" t="n"/>
      <c r="E19" s="34" t="n"/>
      <c r="F19" s="33" t="n"/>
      <c r="G19" s="34" t="n"/>
      <c r="H19" s="33" t="n"/>
      <c r="I19" s="22">
        <f>IF(D19="","",COUNTIFS(LOG_DATE,D19,LOG_STATE,"承認")+COUNTIFS(LOG_DATE,D19,LOG_STATE,"申請中")-IF(G19="却下",0,1))</f>
        <v/>
      </c>
      <c r="J19" s="22">
        <f>IF(D19="","",IFERROR(SUMPRODUCT((INDEX(STAFF_DAYS,0,WEEKDAY(D19,2))="○")*1)-I19-IF(G19="却下",0,1),"日付を確認"))</f>
        <v/>
      </c>
      <c r="K19" s="27">
        <f>IF(D19="","",IFERROR(IF(OR(INDEX(BIZ_DAYS,WEEKDAY(D19,2))="×",COUNTIF(HOLIDAYS,D19)&gt;0),"休業日",IF(J19&lt;MIN_ALL,"要確認","OK")),"日付を確認"))</f>
        <v/>
      </c>
      <c r="L19" s="29">
        <f>IF(AND(G19="承認",C19&lt;&gt;"",D19&lt;&gt;""),C19&amp;"|"&amp;TEXT(D19,"yyyymmdd"),"")</f>
        <v/>
      </c>
      <c r="M19" s="29">
        <f>IF(AND(G19="申請中",C19&lt;&gt;"",D19&lt;&gt;""),C19&amp;"|"&amp;TEXT(D19,"yyyymmdd"),"")</f>
        <v/>
      </c>
    </row>
    <row r="20">
      <c r="B20" s="32" t="n"/>
      <c r="C20" s="33" t="n"/>
      <c r="D20" s="32" t="n"/>
      <c r="E20" s="34" t="n"/>
      <c r="F20" s="33" t="n"/>
      <c r="G20" s="34" t="n"/>
      <c r="H20" s="33" t="n"/>
      <c r="I20" s="22">
        <f>IF(D20="","",COUNTIFS(LOG_DATE,D20,LOG_STATE,"承認")+COUNTIFS(LOG_DATE,D20,LOG_STATE,"申請中")-IF(G20="却下",0,1))</f>
        <v/>
      </c>
      <c r="J20" s="22">
        <f>IF(D20="","",IFERROR(SUMPRODUCT((INDEX(STAFF_DAYS,0,WEEKDAY(D20,2))="○")*1)-I20-IF(G20="却下",0,1),"日付を確認"))</f>
        <v/>
      </c>
      <c r="K20" s="27">
        <f>IF(D20="","",IFERROR(IF(OR(INDEX(BIZ_DAYS,WEEKDAY(D20,2))="×",COUNTIF(HOLIDAYS,D20)&gt;0),"休業日",IF(J20&lt;MIN_ALL,"要確認","OK")),"日付を確認"))</f>
        <v/>
      </c>
      <c r="L20" s="29">
        <f>IF(AND(G20="承認",C20&lt;&gt;"",D20&lt;&gt;""),C20&amp;"|"&amp;TEXT(D20,"yyyymmdd"),"")</f>
        <v/>
      </c>
      <c r="M20" s="29">
        <f>IF(AND(G20="申請中",C20&lt;&gt;"",D20&lt;&gt;""),C20&amp;"|"&amp;TEXT(D20,"yyyymmdd"),"")</f>
        <v/>
      </c>
    </row>
    <row r="21">
      <c r="B21" s="32" t="n"/>
      <c r="C21" s="33" t="n"/>
      <c r="D21" s="32" t="n"/>
      <c r="E21" s="34" t="n"/>
      <c r="F21" s="33" t="n"/>
      <c r="G21" s="34" t="n"/>
      <c r="H21" s="33" t="n"/>
      <c r="I21" s="22">
        <f>IF(D21="","",COUNTIFS(LOG_DATE,D21,LOG_STATE,"承認")+COUNTIFS(LOG_DATE,D21,LOG_STATE,"申請中")-IF(G21="却下",0,1))</f>
        <v/>
      </c>
      <c r="J21" s="22">
        <f>IF(D21="","",IFERROR(SUMPRODUCT((INDEX(STAFF_DAYS,0,WEEKDAY(D21,2))="○")*1)-I21-IF(G21="却下",0,1),"日付を確認"))</f>
        <v/>
      </c>
      <c r="K21" s="27">
        <f>IF(D21="","",IFERROR(IF(OR(INDEX(BIZ_DAYS,WEEKDAY(D21,2))="×",COUNTIF(HOLIDAYS,D21)&gt;0),"休業日",IF(J21&lt;MIN_ALL,"要確認","OK")),"日付を確認"))</f>
        <v/>
      </c>
      <c r="L21" s="29">
        <f>IF(AND(G21="承認",C21&lt;&gt;"",D21&lt;&gt;""),C21&amp;"|"&amp;TEXT(D21,"yyyymmdd"),"")</f>
        <v/>
      </c>
      <c r="M21" s="29">
        <f>IF(AND(G21="申請中",C21&lt;&gt;"",D21&lt;&gt;""),C21&amp;"|"&amp;TEXT(D21,"yyyymmdd"),"")</f>
        <v/>
      </c>
    </row>
    <row r="22">
      <c r="B22" s="32" t="n"/>
      <c r="C22" s="33" t="n"/>
      <c r="D22" s="32" t="n"/>
      <c r="E22" s="34" t="n"/>
      <c r="F22" s="33" t="n"/>
      <c r="G22" s="34" t="n"/>
      <c r="H22" s="33" t="n"/>
      <c r="I22" s="22">
        <f>IF(D22="","",COUNTIFS(LOG_DATE,D22,LOG_STATE,"承認")+COUNTIFS(LOG_DATE,D22,LOG_STATE,"申請中")-IF(G22="却下",0,1))</f>
        <v/>
      </c>
      <c r="J22" s="22">
        <f>IF(D22="","",IFERROR(SUMPRODUCT((INDEX(STAFF_DAYS,0,WEEKDAY(D22,2))="○")*1)-I22-IF(G22="却下",0,1),"日付を確認"))</f>
        <v/>
      </c>
      <c r="K22" s="27">
        <f>IF(D22="","",IFERROR(IF(OR(INDEX(BIZ_DAYS,WEEKDAY(D22,2))="×",COUNTIF(HOLIDAYS,D22)&gt;0),"休業日",IF(J22&lt;MIN_ALL,"要確認","OK")),"日付を確認"))</f>
        <v/>
      </c>
      <c r="L22" s="29">
        <f>IF(AND(G22="承認",C22&lt;&gt;"",D22&lt;&gt;""),C22&amp;"|"&amp;TEXT(D22,"yyyymmdd"),"")</f>
        <v/>
      </c>
      <c r="M22" s="29">
        <f>IF(AND(G22="申請中",C22&lt;&gt;"",D22&lt;&gt;""),C22&amp;"|"&amp;TEXT(D22,"yyyymmdd"),"")</f>
        <v/>
      </c>
    </row>
    <row r="23">
      <c r="B23" s="32" t="n"/>
      <c r="C23" s="33" t="n"/>
      <c r="D23" s="32" t="n"/>
      <c r="E23" s="34" t="n"/>
      <c r="F23" s="33" t="n"/>
      <c r="G23" s="34" t="n"/>
      <c r="H23" s="33" t="n"/>
      <c r="I23" s="22">
        <f>IF(D23="","",COUNTIFS(LOG_DATE,D23,LOG_STATE,"承認")+COUNTIFS(LOG_DATE,D23,LOG_STATE,"申請中")-IF(G23="却下",0,1))</f>
        <v/>
      </c>
      <c r="J23" s="22">
        <f>IF(D23="","",IFERROR(SUMPRODUCT((INDEX(STAFF_DAYS,0,WEEKDAY(D23,2))="○")*1)-I23-IF(G23="却下",0,1),"日付を確認"))</f>
        <v/>
      </c>
      <c r="K23" s="27">
        <f>IF(D23="","",IFERROR(IF(OR(INDEX(BIZ_DAYS,WEEKDAY(D23,2))="×",COUNTIF(HOLIDAYS,D23)&gt;0),"休業日",IF(J23&lt;MIN_ALL,"要確認","OK")),"日付を確認"))</f>
        <v/>
      </c>
      <c r="L23" s="29">
        <f>IF(AND(G23="承認",C23&lt;&gt;"",D23&lt;&gt;""),C23&amp;"|"&amp;TEXT(D23,"yyyymmdd"),"")</f>
        <v/>
      </c>
      <c r="M23" s="29">
        <f>IF(AND(G23="申請中",C23&lt;&gt;"",D23&lt;&gt;""),C23&amp;"|"&amp;TEXT(D23,"yyyymmdd"),"")</f>
        <v/>
      </c>
    </row>
    <row r="24">
      <c r="B24" s="32" t="n"/>
      <c r="C24" s="33" t="n"/>
      <c r="D24" s="32" t="n"/>
      <c r="E24" s="34" t="n"/>
      <c r="F24" s="33" t="n"/>
      <c r="G24" s="34" t="n"/>
      <c r="H24" s="33" t="n"/>
      <c r="I24" s="22">
        <f>IF(D24="","",COUNTIFS(LOG_DATE,D24,LOG_STATE,"承認")+COUNTIFS(LOG_DATE,D24,LOG_STATE,"申請中")-IF(G24="却下",0,1))</f>
        <v/>
      </c>
      <c r="J24" s="22">
        <f>IF(D24="","",IFERROR(SUMPRODUCT((INDEX(STAFF_DAYS,0,WEEKDAY(D24,2))="○")*1)-I24-IF(G24="却下",0,1),"日付を確認"))</f>
        <v/>
      </c>
      <c r="K24" s="27">
        <f>IF(D24="","",IFERROR(IF(OR(INDEX(BIZ_DAYS,WEEKDAY(D24,2))="×",COUNTIF(HOLIDAYS,D24)&gt;0),"休業日",IF(J24&lt;MIN_ALL,"要確認","OK")),"日付を確認"))</f>
        <v/>
      </c>
      <c r="L24" s="29">
        <f>IF(AND(G24="承認",C24&lt;&gt;"",D24&lt;&gt;""),C24&amp;"|"&amp;TEXT(D24,"yyyymmdd"),"")</f>
        <v/>
      </c>
      <c r="M24" s="29">
        <f>IF(AND(G24="申請中",C24&lt;&gt;"",D24&lt;&gt;""),C24&amp;"|"&amp;TEXT(D24,"yyyymmdd"),"")</f>
        <v/>
      </c>
    </row>
    <row r="25">
      <c r="B25" s="32" t="n"/>
      <c r="C25" s="33" t="n"/>
      <c r="D25" s="32" t="n"/>
      <c r="E25" s="34" t="n"/>
      <c r="F25" s="33" t="n"/>
      <c r="G25" s="34" t="n"/>
      <c r="H25" s="33" t="n"/>
      <c r="I25" s="22">
        <f>IF(D25="","",COUNTIFS(LOG_DATE,D25,LOG_STATE,"承認")+COUNTIFS(LOG_DATE,D25,LOG_STATE,"申請中")-IF(G25="却下",0,1))</f>
        <v/>
      </c>
      <c r="J25" s="22">
        <f>IF(D25="","",IFERROR(SUMPRODUCT((INDEX(STAFF_DAYS,0,WEEKDAY(D25,2))="○")*1)-I25-IF(G25="却下",0,1),"日付を確認"))</f>
        <v/>
      </c>
      <c r="K25" s="27">
        <f>IF(D25="","",IFERROR(IF(OR(INDEX(BIZ_DAYS,WEEKDAY(D25,2))="×",COUNTIF(HOLIDAYS,D25)&gt;0),"休業日",IF(J25&lt;MIN_ALL,"要確認","OK")),"日付を確認"))</f>
        <v/>
      </c>
      <c r="L25" s="29">
        <f>IF(AND(G25="承認",C25&lt;&gt;"",D25&lt;&gt;""),C25&amp;"|"&amp;TEXT(D25,"yyyymmdd"),"")</f>
        <v/>
      </c>
      <c r="M25" s="29">
        <f>IF(AND(G25="申請中",C25&lt;&gt;"",D25&lt;&gt;""),C25&amp;"|"&amp;TEXT(D25,"yyyymmdd"),"")</f>
        <v/>
      </c>
    </row>
    <row r="26">
      <c r="B26" s="32" t="n"/>
      <c r="C26" s="33" t="n"/>
      <c r="D26" s="32" t="n"/>
      <c r="E26" s="34" t="n"/>
      <c r="F26" s="33" t="n"/>
      <c r="G26" s="34" t="n"/>
      <c r="H26" s="33" t="n"/>
      <c r="I26" s="22">
        <f>IF(D26="","",COUNTIFS(LOG_DATE,D26,LOG_STATE,"承認")+COUNTIFS(LOG_DATE,D26,LOG_STATE,"申請中")-IF(G26="却下",0,1))</f>
        <v/>
      </c>
      <c r="J26" s="22">
        <f>IF(D26="","",IFERROR(SUMPRODUCT((INDEX(STAFF_DAYS,0,WEEKDAY(D26,2))="○")*1)-I26-IF(G26="却下",0,1),"日付を確認"))</f>
        <v/>
      </c>
      <c r="K26" s="27">
        <f>IF(D26="","",IFERROR(IF(OR(INDEX(BIZ_DAYS,WEEKDAY(D26,2))="×",COUNTIF(HOLIDAYS,D26)&gt;0),"休業日",IF(J26&lt;MIN_ALL,"要確認","OK")),"日付を確認"))</f>
        <v/>
      </c>
      <c r="L26" s="29">
        <f>IF(AND(G26="承認",C26&lt;&gt;"",D26&lt;&gt;""),C26&amp;"|"&amp;TEXT(D26,"yyyymmdd"),"")</f>
        <v/>
      </c>
      <c r="M26" s="29">
        <f>IF(AND(G26="申請中",C26&lt;&gt;"",D26&lt;&gt;""),C26&amp;"|"&amp;TEXT(D26,"yyyymmdd"),"")</f>
        <v/>
      </c>
    </row>
    <row r="27">
      <c r="B27" s="32" t="n"/>
      <c r="C27" s="33" t="n"/>
      <c r="D27" s="32" t="n"/>
      <c r="E27" s="34" t="n"/>
      <c r="F27" s="33" t="n"/>
      <c r="G27" s="34" t="n"/>
      <c r="H27" s="33" t="n"/>
      <c r="I27" s="22">
        <f>IF(D27="","",COUNTIFS(LOG_DATE,D27,LOG_STATE,"承認")+COUNTIFS(LOG_DATE,D27,LOG_STATE,"申請中")-IF(G27="却下",0,1))</f>
        <v/>
      </c>
      <c r="J27" s="22">
        <f>IF(D27="","",IFERROR(SUMPRODUCT((INDEX(STAFF_DAYS,0,WEEKDAY(D27,2))="○")*1)-I27-IF(G27="却下",0,1),"日付を確認"))</f>
        <v/>
      </c>
      <c r="K27" s="27">
        <f>IF(D27="","",IFERROR(IF(OR(INDEX(BIZ_DAYS,WEEKDAY(D27,2))="×",COUNTIF(HOLIDAYS,D27)&gt;0),"休業日",IF(J27&lt;MIN_ALL,"要確認","OK")),"日付を確認"))</f>
        <v/>
      </c>
      <c r="L27" s="29">
        <f>IF(AND(G27="承認",C27&lt;&gt;"",D27&lt;&gt;""),C27&amp;"|"&amp;TEXT(D27,"yyyymmdd"),"")</f>
        <v/>
      </c>
      <c r="M27" s="29">
        <f>IF(AND(G27="申請中",C27&lt;&gt;"",D27&lt;&gt;""),C27&amp;"|"&amp;TEXT(D27,"yyyymmdd"),"")</f>
        <v/>
      </c>
    </row>
    <row r="28">
      <c r="B28" s="32" t="n"/>
      <c r="C28" s="33" t="n"/>
      <c r="D28" s="32" t="n"/>
      <c r="E28" s="34" t="n"/>
      <c r="F28" s="33" t="n"/>
      <c r="G28" s="34" t="n"/>
      <c r="H28" s="33" t="n"/>
      <c r="I28" s="22">
        <f>IF(D28="","",COUNTIFS(LOG_DATE,D28,LOG_STATE,"承認")+COUNTIFS(LOG_DATE,D28,LOG_STATE,"申請中")-IF(G28="却下",0,1))</f>
        <v/>
      </c>
      <c r="J28" s="22">
        <f>IF(D28="","",IFERROR(SUMPRODUCT((INDEX(STAFF_DAYS,0,WEEKDAY(D28,2))="○")*1)-I28-IF(G28="却下",0,1),"日付を確認"))</f>
        <v/>
      </c>
      <c r="K28" s="27">
        <f>IF(D28="","",IFERROR(IF(OR(INDEX(BIZ_DAYS,WEEKDAY(D28,2))="×",COUNTIF(HOLIDAYS,D28)&gt;0),"休業日",IF(J28&lt;MIN_ALL,"要確認","OK")),"日付を確認"))</f>
        <v/>
      </c>
      <c r="L28" s="29">
        <f>IF(AND(G28="承認",C28&lt;&gt;"",D28&lt;&gt;""),C28&amp;"|"&amp;TEXT(D28,"yyyymmdd"),"")</f>
        <v/>
      </c>
      <c r="M28" s="29">
        <f>IF(AND(G28="申請中",C28&lt;&gt;"",D28&lt;&gt;""),C28&amp;"|"&amp;TEXT(D28,"yyyymmdd"),"")</f>
        <v/>
      </c>
    </row>
    <row r="29">
      <c r="B29" s="32" t="n"/>
      <c r="C29" s="33" t="n"/>
      <c r="D29" s="32" t="n"/>
      <c r="E29" s="34" t="n"/>
      <c r="F29" s="33" t="n"/>
      <c r="G29" s="34" t="n"/>
      <c r="H29" s="33" t="n"/>
      <c r="I29" s="22">
        <f>IF(D29="","",COUNTIFS(LOG_DATE,D29,LOG_STATE,"承認")+COUNTIFS(LOG_DATE,D29,LOG_STATE,"申請中")-IF(G29="却下",0,1))</f>
        <v/>
      </c>
      <c r="J29" s="22">
        <f>IF(D29="","",IFERROR(SUMPRODUCT((INDEX(STAFF_DAYS,0,WEEKDAY(D29,2))="○")*1)-I29-IF(G29="却下",0,1),"日付を確認"))</f>
        <v/>
      </c>
      <c r="K29" s="27">
        <f>IF(D29="","",IFERROR(IF(OR(INDEX(BIZ_DAYS,WEEKDAY(D29,2))="×",COUNTIF(HOLIDAYS,D29)&gt;0),"休業日",IF(J29&lt;MIN_ALL,"要確認","OK")),"日付を確認"))</f>
        <v/>
      </c>
      <c r="L29" s="29">
        <f>IF(AND(G29="承認",C29&lt;&gt;"",D29&lt;&gt;""),C29&amp;"|"&amp;TEXT(D29,"yyyymmdd"),"")</f>
        <v/>
      </c>
      <c r="M29" s="29">
        <f>IF(AND(G29="申請中",C29&lt;&gt;"",D29&lt;&gt;""),C29&amp;"|"&amp;TEXT(D29,"yyyymmdd"),"")</f>
        <v/>
      </c>
    </row>
    <row r="30">
      <c r="B30" s="32" t="n"/>
      <c r="C30" s="33" t="n"/>
      <c r="D30" s="32" t="n"/>
      <c r="E30" s="34" t="n"/>
      <c r="F30" s="33" t="n"/>
      <c r="G30" s="34" t="n"/>
      <c r="H30" s="33" t="n"/>
      <c r="I30" s="22">
        <f>IF(D30="","",COUNTIFS(LOG_DATE,D30,LOG_STATE,"承認")+COUNTIFS(LOG_DATE,D30,LOG_STATE,"申請中")-IF(G30="却下",0,1))</f>
        <v/>
      </c>
      <c r="J30" s="22">
        <f>IF(D30="","",IFERROR(SUMPRODUCT((INDEX(STAFF_DAYS,0,WEEKDAY(D30,2))="○")*1)-I30-IF(G30="却下",0,1),"日付を確認"))</f>
        <v/>
      </c>
      <c r="K30" s="27">
        <f>IF(D30="","",IFERROR(IF(OR(INDEX(BIZ_DAYS,WEEKDAY(D30,2))="×",COUNTIF(HOLIDAYS,D30)&gt;0),"休業日",IF(J30&lt;MIN_ALL,"要確認","OK")),"日付を確認"))</f>
        <v/>
      </c>
      <c r="L30" s="29">
        <f>IF(AND(G30="承認",C30&lt;&gt;"",D30&lt;&gt;""),C30&amp;"|"&amp;TEXT(D30,"yyyymmdd"),"")</f>
        <v/>
      </c>
      <c r="M30" s="29">
        <f>IF(AND(G30="申請中",C30&lt;&gt;"",D30&lt;&gt;""),C30&amp;"|"&amp;TEXT(D30,"yyyymmdd"),"")</f>
        <v/>
      </c>
    </row>
    <row r="31">
      <c r="B31" s="32" t="n"/>
      <c r="C31" s="33" t="n"/>
      <c r="D31" s="32" t="n"/>
      <c r="E31" s="34" t="n"/>
      <c r="F31" s="33" t="n"/>
      <c r="G31" s="34" t="n"/>
      <c r="H31" s="33" t="n"/>
      <c r="I31" s="22">
        <f>IF(D31="","",COUNTIFS(LOG_DATE,D31,LOG_STATE,"承認")+COUNTIFS(LOG_DATE,D31,LOG_STATE,"申請中")-IF(G31="却下",0,1))</f>
        <v/>
      </c>
      <c r="J31" s="22">
        <f>IF(D31="","",IFERROR(SUMPRODUCT((INDEX(STAFF_DAYS,0,WEEKDAY(D31,2))="○")*1)-I31-IF(G31="却下",0,1),"日付を確認"))</f>
        <v/>
      </c>
      <c r="K31" s="27">
        <f>IF(D31="","",IFERROR(IF(OR(INDEX(BIZ_DAYS,WEEKDAY(D31,2))="×",COUNTIF(HOLIDAYS,D31)&gt;0),"休業日",IF(J31&lt;MIN_ALL,"要確認","OK")),"日付を確認"))</f>
        <v/>
      </c>
      <c r="L31" s="29">
        <f>IF(AND(G31="承認",C31&lt;&gt;"",D31&lt;&gt;""),C31&amp;"|"&amp;TEXT(D31,"yyyymmdd"),"")</f>
        <v/>
      </c>
      <c r="M31" s="29">
        <f>IF(AND(G31="申請中",C31&lt;&gt;"",D31&lt;&gt;""),C31&amp;"|"&amp;TEXT(D31,"yyyymmdd"),"")</f>
        <v/>
      </c>
    </row>
    <row r="32">
      <c r="B32" s="32" t="n"/>
      <c r="C32" s="33" t="n"/>
      <c r="D32" s="32" t="n"/>
      <c r="E32" s="34" t="n"/>
      <c r="F32" s="33" t="n"/>
      <c r="G32" s="34" t="n"/>
      <c r="H32" s="33" t="n"/>
      <c r="I32" s="22">
        <f>IF(D32="","",COUNTIFS(LOG_DATE,D32,LOG_STATE,"承認")+COUNTIFS(LOG_DATE,D32,LOG_STATE,"申請中")-IF(G32="却下",0,1))</f>
        <v/>
      </c>
      <c r="J32" s="22">
        <f>IF(D32="","",IFERROR(SUMPRODUCT((INDEX(STAFF_DAYS,0,WEEKDAY(D32,2))="○")*1)-I32-IF(G32="却下",0,1),"日付を確認"))</f>
        <v/>
      </c>
      <c r="K32" s="27">
        <f>IF(D32="","",IFERROR(IF(OR(INDEX(BIZ_DAYS,WEEKDAY(D32,2))="×",COUNTIF(HOLIDAYS,D32)&gt;0),"休業日",IF(J32&lt;MIN_ALL,"要確認","OK")),"日付を確認"))</f>
        <v/>
      </c>
      <c r="L32" s="29">
        <f>IF(AND(G32="承認",C32&lt;&gt;"",D32&lt;&gt;""),C32&amp;"|"&amp;TEXT(D32,"yyyymmdd"),"")</f>
        <v/>
      </c>
      <c r="M32" s="29">
        <f>IF(AND(G32="申請中",C32&lt;&gt;"",D32&lt;&gt;""),C32&amp;"|"&amp;TEXT(D32,"yyyymmdd"),"")</f>
        <v/>
      </c>
    </row>
    <row r="33">
      <c r="B33" s="32" t="n"/>
      <c r="C33" s="33" t="n"/>
      <c r="D33" s="32" t="n"/>
      <c r="E33" s="34" t="n"/>
      <c r="F33" s="33" t="n"/>
      <c r="G33" s="34" t="n"/>
      <c r="H33" s="33" t="n"/>
      <c r="I33" s="22">
        <f>IF(D33="","",COUNTIFS(LOG_DATE,D33,LOG_STATE,"承認")+COUNTIFS(LOG_DATE,D33,LOG_STATE,"申請中")-IF(G33="却下",0,1))</f>
        <v/>
      </c>
      <c r="J33" s="22">
        <f>IF(D33="","",IFERROR(SUMPRODUCT((INDEX(STAFF_DAYS,0,WEEKDAY(D33,2))="○")*1)-I33-IF(G33="却下",0,1),"日付を確認"))</f>
        <v/>
      </c>
      <c r="K33" s="27">
        <f>IF(D33="","",IFERROR(IF(OR(INDEX(BIZ_DAYS,WEEKDAY(D33,2))="×",COUNTIF(HOLIDAYS,D33)&gt;0),"休業日",IF(J33&lt;MIN_ALL,"要確認","OK")),"日付を確認"))</f>
        <v/>
      </c>
      <c r="L33" s="29">
        <f>IF(AND(G33="承認",C33&lt;&gt;"",D33&lt;&gt;""),C33&amp;"|"&amp;TEXT(D33,"yyyymmdd"),"")</f>
        <v/>
      </c>
      <c r="M33" s="29">
        <f>IF(AND(G33="申請中",C33&lt;&gt;"",D33&lt;&gt;""),C33&amp;"|"&amp;TEXT(D33,"yyyymmdd"),"")</f>
        <v/>
      </c>
    </row>
    <row r="34">
      <c r="B34" s="32" t="n"/>
      <c r="C34" s="33" t="n"/>
      <c r="D34" s="32" t="n"/>
      <c r="E34" s="34" t="n"/>
      <c r="F34" s="33" t="n"/>
      <c r="G34" s="34" t="n"/>
      <c r="H34" s="33" t="n"/>
      <c r="I34" s="22">
        <f>IF(D34="","",COUNTIFS(LOG_DATE,D34,LOG_STATE,"承認")+COUNTIFS(LOG_DATE,D34,LOG_STATE,"申請中")-IF(G34="却下",0,1))</f>
        <v/>
      </c>
      <c r="J34" s="22">
        <f>IF(D34="","",IFERROR(SUMPRODUCT((INDEX(STAFF_DAYS,0,WEEKDAY(D34,2))="○")*1)-I34-IF(G34="却下",0,1),"日付を確認"))</f>
        <v/>
      </c>
      <c r="K34" s="27">
        <f>IF(D34="","",IFERROR(IF(OR(INDEX(BIZ_DAYS,WEEKDAY(D34,2))="×",COUNTIF(HOLIDAYS,D34)&gt;0),"休業日",IF(J34&lt;MIN_ALL,"要確認","OK")),"日付を確認"))</f>
        <v/>
      </c>
      <c r="L34" s="29">
        <f>IF(AND(G34="承認",C34&lt;&gt;"",D34&lt;&gt;""),C34&amp;"|"&amp;TEXT(D34,"yyyymmdd"),"")</f>
        <v/>
      </c>
      <c r="M34" s="29">
        <f>IF(AND(G34="申請中",C34&lt;&gt;"",D34&lt;&gt;""),C34&amp;"|"&amp;TEXT(D34,"yyyymmdd"),"")</f>
        <v/>
      </c>
    </row>
    <row r="35">
      <c r="B35" s="32" t="n"/>
      <c r="C35" s="33" t="n"/>
      <c r="D35" s="32" t="n"/>
      <c r="E35" s="34" t="n"/>
      <c r="F35" s="33" t="n"/>
      <c r="G35" s="34" t="n"/>
      <c r="H35" s="33" t="n"/>
      <c r="I35" s="22">
        <f>IF(D35="","",COUNTIFS(LOG_DATE,D35,LOG_STATE,"承認")+COUNTIFS(LOG_DATE,D35,LOG_STATE,"申請中")-IF(G35="却下",0,1))</f>
        <v/>
      </c>
      <c r="J35" s="22">
        <f>IF(D35="","",IFERROR(SUMPRODUCT((INDEX(STAFF_DAYS,0,WEEKDAY(D35,2))="○")*1)-I35-IF(G35="却下",0,1),"日付を確認"))</f>
        <v/>
      </c>
      <c r="K35" s="27">
        <f>IF(D35="","",IFERROR(IF(OR(INDEX(BIZ_DAYS,WEEKDAY(D35,2))="×",COUNTIF(HOLIDAYS,D35)&gt;0),"休業日",IF(J35&lt;MIN_ALL,"要確認","OK")),"日付を確認"))</f>
        <v/>
      </c>
      <c r="L35" s="29">
        <f>IF(AND(G35="承認",C35&lt;&gt;"",D35&lt;&gt;""),C35&amp;"|"&amp;TEXT(D35,"yyyymmdd"),"")</f>
        <v/>
      </c>
      <c r="M35" s="29">
        <f>IF(AND(G35="申請中",C35&lt;&gt;"",D35&lt;&gt;""),C35&amp;"|"&amp;TEXT(D35,"yyyymmdd"),"")</f>
        <v/>
      </c>
    </row>
    <row r="36">
      <c r="B36" s="32" t="n"/>
      <c r="C36" s="33" t="n"/>
      <c r="D36" s="32" t="n"/>
      <c r="E36" s="34" t="n"/>
      <c r="F36" s="33" t="n"/>
      <c r="G36" s="34" t="n"/>
      <c r="H36" s="33" t="n"/>
      <c r="I36" s="22">
        <f>IF(D36="","",COUNTIFS(LOG_DATE,D36,LOG_STATE,"承認")+COUNTIFS(LOG_DATE,D36,LOG_STATE,"申請中")-IF(G36="却下",0,1))</f>
        <v/>
      </c>
      <c r="J36" s="22">
        <f>IF(D36="","",IFERROR(SUMPRODUCT((INDEX(STAFF_DAYS,0,WEEKDAY(D36,2))="○")*1)-I36-IF(G36="却下",0,1),"日付を確認"))</f>
        <v/>
      </c>
      <c r="K36" s="27">
        <f>IF(D36="","",IFERROR(IF(OR(INDEX(BIZ_DAYS,WEEKDAY(D36,2))="×",COUNTIF(HOLIDAYS,D36)&gt;0),"休業日",IF(J36&lt;MIN_ALL,"要確認","OK")),"日付を確認"))</f>
        <v/>
      </c>
      <c r="L36" s="29">
        <f>IF(AND(G36="承認",C36&lt;&gt;"",D36&lt;&gt;""),C36&amp;"|"&amp;TEXT(D36,"yyyymmdd"),"")</f>
        <v/>
      </c>
      <c r="M36" s="29">
        <f>IF(AND(G36="申請中",C36&lt;&gt;"",D36&lt;&gt;""),C36&amp;"|"&amp;TEXT(D36,"yyyymmdd"),"")</f>
        <v/>
      </c>
    </row>
    <row r="37">
      <c r="B37" s="32" t="n"/>
      <c r="C37" s="33" t="n"/>
      <c r="D37" s="32" t="n"/>
      <c r="E37" s="34" t="n"/>
      <c r="F37" s="33" t="n"/>
      <c r="G37" s="34" t="n"/>
      <c r="H37" s="33" t="n"/>
      <c r="I37" s="22">
        <f>IF(D37="","",COUNTIFS(LOG_DATE,D37,LOG_STATE,"承認")+COUNTIFS(LOG_DATE,D37,LOG_STATE,"申請中")-IF(G37="却下",0,1))</f>
        <v/>
      </c>
      <c r="J37" s="22">
        <f>IF(D37="","",IFERROR(SUMPRODUCT((INDEX(STAFF_DAYS,0,WEEKDAY(D37,2))="○")*1)-I37-IF(G37="却下",0,1),"日付を確認"))</f>
        <v/>
      </c>
      <c r="K37" s="27">
        <f>IF(D37="","",IFERROR(IF(OR(INDEX(BIZ_DAYS,WEEKDAY(D37,2))="×",COUNTIF(HOLIDAYS,D37)&gt;0),"休業日",IF(J37&lt;MIN_ALL,"要確認","OK")),"日付を確認"))</f>
        <v/>
      </c>
      <c r="L37" s="29">
        <f>IF(AND(G37="承認",C37&lt;&gt;"",D37&lt;&gt;""),C37&amp;"|"&amp;TEXT(D37,"yyyymmdd"),"")</f>
        <v/>
      </c>
      <c r="M37" s="29">
        <f>IF(AND(G37="申請中",C37&lt;&gt;"",D37&lt;&gt;""),C37&amp;"|"&amp;TEXT(D37,"yyyymmdd"),"")</f>
        <v/>
      </c>
    </row>
    <row r="38">
      <c r="B38" s="32" t="n"/>
      <c r="C38" s="33" t="n"/>
      <c r="D38" s="32" t="n"/>
      <c r="E38" s="34" t="n"/>
      <c r="F38" s="33" t="n"/>
      <c r="G38" s="34" t="n"/>
      <c r="H38" s="33" t="n"/>
      <c r="I38" s="22">
        <f>IF(D38="","",COUNTIFS(LOG_DATE,D38,LOG_STATE,"承認")+COUNTIFS(LOG_DATE,D38,LOG_STATE,"申請中")-IF(G38="却下",0,1))</f>
        <v/>
      </c>
      <c r="J38" s="22">
        <f>IF(D38="","",IFERROR(SUMPRODUCT((INDEX(STAFF_DAYS,0,WEEKDAY(D38,2))="○")*1)-I38-IF(G38="却下",0,1),"日付を確認"))</f>
        <v/>
      </c>
      <c r="K38" s="27">
        <f>IF(D38="","",IFERROR(IF(OR(INDEX(BIZ_DAYS,WEEKDAY(D38,2))="×",COUNTIF(HOLIDAYS,D38)&gt;0),"休業日",IF(J38&lt;MIN_ALL,"要確認","OK")),"日付を確認"))</f>
        <v/>
      </c>
      <c r="L38" s="29">
        <f>IF(AND(G38="承認",C38&lt;&gt;"",D38&lt;&gt;""),C38&amp;"|"&amp;TEXT(D38,"yyyymmdd"),"")</f>
        <v/>
      </c>
      <c r="M38" s="29">
        <f>IF(AND(G38="申請中",C38&lt;&gt;"",D38&lt;&gt;""),C38&amp;"|"&amp;TEXT(D38,"yyyymmdd"),"")</f>
        <v/>
      </c>
    </row>
    <row r="39">
      <c r="B39" s="32" t="n"/>
      <c r="C39" s="33" t="n"/>
      <c r="D39" s="32" t="n"/>
      <c r="E39" s="34" t="n"/>
      <c r="F39" s="33" t="n"/>
      <c r="G39" s="34" t="n"/>
      <c r="H39" s="33" t="n"/>
      <c r="I39" s="22">
        <f>IF(D39="","",COUNTIFS(LOG_DATE,D39,LOG_STATE,"承認")+COUNTIFS(LOG_DATE,D39,LOG_STATE,"申請中")-IF(G39="却下",0,1))</f>
        <v/>
      </c>
      <c r="J39" s="22">
        <f>IF(D39="","",IFERROR(SUMPRODUCT((INDEX(STAFF_DAYS,0,WEEKDAY(D39,2))="○")*1)-I39-IF(G39="却下",0,1),"日付を確認"))</f>
        <v/>
      </c>
      <c r="K39" s="27">
        <f>IF(D39="","",IFERROR(IF(OR(INDEX(BIZ_DAYS,WEEKDAY(D39,2))="×",COUNTIF(HOLIDAYS,D39)&gt;0),"休業日",IF(J39&lt;MIN_ALL,"要確認","OK")),"日付を確認"))</f>
        <v/>
      </c>
      <c r="L39" s="29">
        <f>IF(AND(G39="承認",C39&lt;&gt;"",D39&lt;&gt;""),C39&amp;"|"&amp;TEXT(D39,"yyyymmdd"),"")</f>
        <v/>
      </c>
      <c r="M39" s="29">
        <f>IF(AND(G39="申請中",C39&lt;&gt;"",D39&lt;&gt;""),C39&amp;"|"&amp;TEXT(D39,"yyyymmdd"),"")</f>
        <v/>
      </c>
    </row>
    <row r="40">
      <c r="B40" s="32" t="n"/>
      <c r="C40" s="33" t="n"/>
      <c r="D40" s="32" t="n"/>
      <c r="E40" s="34" t="n"/>
      <c r="F40" s="33" t="n"/>
      <c r="G40" s="34" t="n"/>
      <c r="H40" s="33" t="n"/>
      <c r="I40" s="22">
        <f>IF(D40="","",COUNTIFS(LOG_DATE,D40,LOG_STATE,"承認")+COUNTIFS(LOG_DATE,D40,LOG_STATE,"申請中")-IF(G40="却下",0,1))</f>
        <v/>
      </c>
      <c r="J40" s="22">
        <f>IF(D40="","",IFERROR(SUMPRODUCT((INDEX(STAFF_DAYS,0,WEEKDAY(D40,2))="○")*1)-I40-IF(G40="却下",0,1),"日付を確認"))</f>
        <v/>
      </c>
      <c r="K40" s="27">
        <f>IF(D40="","",IFERROR(IF(OR(INDEX(BIZ_DAYS,WEEKDAY(D40,2))="×",COUNTIF(HOLIDAYS,D40)&gt;0),"休業日",IF(J40&lt;MIN_ALL,"要確認","OK")),"日付を確認"))</f>
        <v/>
      </c>
      <c r="L40" s="29">
        <f>IF(AND(G40="承認",C40&lt;&gt;"",D40&lt;&gt;""),C40&amp;"|"&amp;TEXT(D40,"yyyymmdd"),"")</f>
        <v/>
      </c>
      <c r="M40" s="29">
        <f>IF(AND(G40="申請中",C40&lt;&gt;"",D40&lt;&gt;""),C40&amp;"|"&amp;TEXT(D40,"yyyymmdd"),"")</f>
        <v/>
      </c>
    </row>
    <row r="41">
      <c r="B41" s="32" t="n"/>
      <c r="C41" s="33" t="n"/>
      <c r="D41" s="32" t="n"/>
      <c r="E41" s="34" t="n"/>
      <c r="F41" s="33" t="n"/>
      <c r="G41" s="34" t="n"/>
      <c r="H41" s="33" t="n"/>
      <c r="I41" s="22">
        <f>IF(D41="","",COUNTIFS(LOG_DATE,D41,LOG_STATE,"承認")+COUNTIFS(LOG_DATE,D41,LOG_STATE,"申請中")-IF(G41="却下",0,1))</f>
        <v/>
      </c>
      <c r="J41" s="22">
        <f>IF(D41="","",IFERROR(SUMPRODUCT((INDEX(STAFF_DAYS,0,WEEKDAY(D41,2))="○")*1)-I41-IF(G41="却下",0,1),"日付を確認"))</f>
        <v/>
      </c>
      <c r="K41" s="27">
        <f>IF(D41="","",IFERROR(IF(OR(INDEX(BIZ_DAYS,WEEKDAY(D41,2))="×",COUNTIF(HOLIDAYS,D41)&gt;0),"休業日",IF(J41&lt;MIN_ALL,"要確認","OK")),"日付を確認"))</f>
        <v/>
      </c>
      <c r="L41" s="29">
        <f>IF(AND(G41="承認",C41&lt;&gt;"",D41&lt;&gt;""),C41&amp;"|"&amp;TEXT(D41,"yyyymmdd"),"")</f>
        <v/>
      </c>
      <c r="M41" s="29">
        <f>IF(AND(G41="申請中",C41&lt;&gt;"",D41&lt;&gt;""),C41&amp;"|"&amp;TEXT(D41,"yyyymmdd"),"")</f>
        <v/>
      </c>
    </row>
    <row r="42">
      <c r="B42" s="32" t="n"/>
      <c r="C42" s="33" t="n"/>
      <c r="D42" s="32" t="n"/>
      <c r="E42" s="34" t="n"/>
      <c r="F42" s="33" t="n"/>
      <c r="G42" s="34" t="n"/>
      <c r="H42" s="33" t="n"/>
      <c r="I42" s="22">
        <f>IF(D42="","",COUNTIFS(LOG_DATE,D42,LOG_STATE,"承認")+COUNTIFS(LOG_DATE,D42,LOG_STATE,"申請中")-IF(G42="却下",0,1))</f>
        <v/>
      </c>
      <c r="J42" s="22">
        <f>IF(D42="","",IFERROR(SUMPRODUCT((INDEX(STAFF_DAYS,0,WEEKDAY(D42,2))="○")*1)-I42-IF(G42="却下",0,1),"日付を確認"))</f>
        <v/>
      </c>
      <c r="K42" s="27">
        <f>IF(D42="","",IFERROR(IF(OR(INDEX(BIZ_DAYS,WEEKDAY(D42,2))="×",COUNTIF(HOLIDAYS,D42)&gt;0),"休業日",IF(J42&lt;MIN_ALL,"要確認","OK")),"日付を確認"))</f>
        <v/>
      </c>
      <c r="L42" s="29">
        <f>IF(AND(G42="承認",C42&lt;&gt;"",D42&lt;&gt;""),C42&amp;"|"&amp;TEXT(D42,"yyyymmdd"),"")</f>
        <v/>
      </c>
      <c r="M42" s="29">
        <f>IF(AND(G42="申請中",C42&lt;&gt;"",D42&lt;&gt;""),C42&amp;"|"&amp;TEXT(D42,"yyyymmdd"),"")</f>
        <v/>
      </c>
    </row>
    <row r="43">
      <c r="B43" s="32" t="n"/>
      <c r="C43" s="33" t="n"/>
      <c r="D43" s="32" t="n"/>
      <c r="E43" s="34" t="n"/>
      <c r="F43" s="33" t="n"/>
      <c r="G43" s="34" t="n"/>
      <c r="H43" s="33" t="n"/>
      <c r="I43" s="22">
        <f>IF(D43="","",COUNTIFS(LOG_DATE,D43,LOG_STATE,"承認")+COUNTIFS(LOG_DATE,D43,LOG_STATE,"申請中")-IF(G43="却下",0,1))</f>
        <v/>
      </c>
      <c r="J43" s="22">
        <f>IF(D43="","",IFERROR(SUMPRODUCT((INDEX(STAFF_DAYS,0,WEEKDAY(D43,2))="○")*1)-I43-IF(G43="却下",0,1),"日付を確認"))</f>
        <v/>
      </c>
      <c r="K43" s="27">
        <f>IF(D43="","",IFERROR(IF(OR(INDEX(BIZ_DAYS,WEEKDAY(D43,2))="×",COUNTIF(HOLIDAYS,D43)&gt;0),"休業日",IF(J43&lt;MIN_ALL,"要確認","OK")),"日付を確認"))</f>
        <v/>
      </c>
      <c r="L43" s="29">
        <f>IF(AND(G43="承認",C43&lt;&gt;"",D43&lt;&gt;""),C43&amp;"|"&amp;TEXT(D43,"yyyymmdd"),"")</f>
        <v/>
      </c>
      <c r="M43" s="29">
        <f>IF(AND(G43="申請中",C43&lt;&gt;"",D43&lt;&gt;""),C43&amp;"|"&amp;TEXT(D43,"yyyymmdd"),"")</f>
        <v/>
      </c>
    </row>
    <row r="44">
      <c r="B44" s="32" t="n"/>
      <c r="C44" s="33" t="n"/>
      <c r="D44" s="32" t="n"/>
      <c r="E44" s="34" t="n"/>
      <c r="F44" s="33" t="n"/>
      <c r="G44" s="34" t="n"/>
      <c r="H44" s="33" t="n"/>
      <c r="I44" s="22">
        <f>IF(D44="","",COUNTIFS(LOG_DATE,D44,LOG_STATE,"承認")+COUNTIFS(LOG_DATE,D44,LOG_STATE,"申請中")-IF(G44="却下",0,1))</f>
        <v/>
      </c>
      <c r="J44" s="22">
        <f>IF(D44="","",IFERROR(SUMPRODUCT((INDEX(STAFF_DAYS,0,WEEKDAY(D44,2))="○")*1)-I44-IF(G44="却下",0,1),"日付を確認"))</f>
        <v/>
      </c>
      <c r="K44" s="27">
        <f>IF(D44="","",IFERROR(IF(OR(INDEX(BIZ_DAYS,WEEKDAY(D44,2))="×",COUNTIF(HOLIDAYS,D44)&gt;0),"休業日",IF(J44&lt;MIN_ALL,"要確認","OK")),"日付を確認"))</f>
        <v/>
      </c>
      <c r="L44" s="29">
        <f>IF(AND(G44="承認",C44&lt;&gt;"",D44&lt;&gt;""),C44&amp;"|"&amp;TEXT(D44,"yyyymmdd"),"")</f>
        <v/>
      </c>
      <c r="M44" s="29">
        <f>IF(AND(G44="申請中",C44&lt;&gt;"",D44&lt;&gt;""),C44&amp;"|"&amp;TEXT(D44,"yyyymmdd"),"")</f>
        <v/>
      </c>
    </row>
    <row r="45">
      <c r="B45" s="32" t="n"/>
      <c r="C45" s="33" t="n"/>
      <c r="D45" s="32" t="n"/>
      <c r="E45" s="34" t="n"/>
      <c r="F45" s="33" t="n"/>
      <c r="G45" s="34" t="n"/>
      <c r="H45" s="33" t="n"/>
      <c r="I45" s="22">
        <f>IF(D45="","",COUNTIFS(LOG_DATE,D45,LOG_STATE,"承認")+COUNTIFS(LOG_DATE,D45,LOG_STATE,"申請中")-IF(G45="却下",0,1))</f>
        <v/>
      </c>
      <c r="J45" s="22">
        <f>IF(D45="","",IFERROR(SUMPRODUCT((INDEX(STAFF_DAYS,0,WEEKDAY(D45,2))="○")*1)-I45-IF(G45="却下",0,1),"日付を確認"))</f>
        <v/>
      </c>
      <c r="K45" s="27">
        <f>IF(D45="","",IFERROR(IF(OR(INDEX(BIZ_DAYS,WEEKDAY(D45,2))="×",COUNTIF(HOLIDAYS,D45)&gt;0),"休業日",IF(J45&lt;MIN_ALL,"要確認","OK")),"日付を確認"))</f>
        <v/>
      </c>
      <c r="L45" s="29">
        <f>IF(AND(G45="承認",C45&lt;&gt;"",D45&lt;&gt;""),C45&amp;"|"&amp;TEXT(D45,"yyyymmdd"),"")</f>
        <v/>
      </c>
      <c r="M45" s="29">
        <f>IF(AND(G45="申請中",C45&lt;&gt;"",D45&lt;&gt;""),C45&amp;"|"&amp;TEXT(D45,"yyyymmdd"),"")</f>
        <v/>
      </c>
    </row>
    <row r="46">
      <c r="B46" s="32" t="n"/>
      <c r="C46" s="33" t="n"/>
      <c r="D46" s="32" t="n"/>
      <c r="E46" s="34" t="n"/>
      <c r="F46" s="33" t="n"/>
      <c r="G46" s="34" t="n"/>
      <c r="H46" s="33" t="n"/>
      <c r="I46" s="22">
        <f>IF(D46="","",COUNTIFS(LOG_DATE,D46,LOG_STATE,"承認")+COUNTIFS(LOG_DATE,D46,LOG_STATE,"申請中")-IF(G46="却下",0,1))</f>
        <v/>
      </c>
      <c r="J46" s="22">
        <f>IF(D46="","",IFERROR(SUMPRODUCT((INDEX(STAFF_DAYS,0,WEEKDAY(D46,2))="○")*1)-I46-IF(G46="却下",0,1),"日付を確認"))</f>
        <v/>
      </c>
      <c r="K46" s="27">
        <f>IF(D46="","",IFERROR(IF(OR(INDEX(BIZ_DAYS,WEEKDAY(D46,2))="×",COUNTIF(HOLIDAYS,D46)&gt;0),"休業日",IF(J46&lt;MIN_ALL,"要確認","OK")),"日付を確認"))</f>
        <v/>
      </c>
      <c r="L46" s="29">
        <f>IF(AND(G46="承認",C46&lt;&gt;"",D46&lt;&gt;""),C46&amp;"|"&amp;TEXT(D46,"yyyymmdd"),"")</f>
        <v/>
      </c>
      <c r="M46" s="29">
        <f>IF(AND(G46="申請中",C46&lt;&gt;"",D46&lt;&gt;""),C46&amp;"|"&amp;TEXT(D46,"yyyymmdd"),"")</f>
        <v/>
      </c>
    </row>
    <row r="47">
      <c r="B47" s="32" t="n"/>
      <c r="C47" s="33" t="n"/>
      <c r="D47" s="32" t="n"/>
      <c r="E47" s="34" t="n"/>
      <c r="F47" s="33" t="n"/>
      <c r="G47" s="34" t="n"/>
      <c r="H47" s="33" t="n"/>
      <c r="I47" s="22">
        <f>IF(D47="","",COUNTIFS(LOG_DATE,D47,LOG_STATE,"承認")+COUNTIFS(LOG_DATE,D47,LOG_STATE,"申請中")-IF(G47="却下",0,1))</f>
        <v/>
      </c>
      <c r="J47" s="22">
        <f>IF(D47="","",IFERROR(SUMPRODUCT((INDEX(STAFF_DAYS,0,WEEKDAY(D47,2))="○")*1)-I47-IF(G47="却下",0,1),"日付を確認"))</f>
        <v/>
      </c>
      <c r="K47" s="27">
        <f>IF(D47="","",IFERROR(IF(OR(INDEX(BIZ_DAYS,WEEKDAY(D47,2))="×",COUNTIF(HOLIDAYS,D47)&gt;0),"休業日",IF(J47&lt;MIN_ALL,"要確認","OK")),"日付を確認"))</f>
        <v/>
      </c>
      <c r="L47" s="29">
        <f>IF(AND(G47="承認",C47&lt;&gt;"",D47&lt;&gt;""),C47&amp;"|"&amp;TEXT(D47,"yyyymmdd"),"")</f>
        <v/>
      </c>
      <c r="M47" s="29">
        <f>IF(AND(G47="申請中",C47&lt;&gt;"",D47&lt;&gt;""),C47&amp;"|"&amp;TEXT(D47,"yyyymmdd"),"")</f>
        <v/>
      </c>
    </row>
    <row r="48">
      <c r="B48" s="32" t="n"/>
      <c r="C48" s="33" t="n"/>
      <c r="D48" s="32" t="n"/>
      <c r="E48" s="34" t="n"/>
      <c r="F48" s="33" t="n"/>
      <c r="G48" s="34" t="n"/>
      <c r="H48" s="33" t="n"/>
      <c r="I48" s="22">
        <f>IF(D48="","",COUNTIFS(LOG_DATE,D48,LOG_STATE,"承認")+COUNTIFS(LOG_DATE,D48,LOG_STATE,"申請中")-IF(G48="却下",0,1))</f>
        <v/>
      </c>
      <c r="J48" s="22">
        <f>IF(D48="","",IFERROR(SUMPRODUCT((INDEX(STAFF_DAYS,0,WEEKDAY(D48,2))="○")*1)-I48-IF(G48="却下",0,1),"日付を確認"))</f>
        <v/>
      </c>
      <c r="K48" s="27">
        <f>IF(D48="","",IFERROR(IF(OR(INDEX(BIZ_DAYS,WEEKDAY(D48,2))="×",COUNTIF(HOLIDAYS,D48)&gt;0),"休業日",IF(J48&lt;MIN_ALL,"要確認","OK")),"日付を確認"))</f>
        <v/>
      </c>
      <c r="L48" s="29">
        <f>IF(AND(G48="承認",C48&lt;&gt;"",D48&lt;&gt;""),C48&amp;"|"&amp;TEXT(D48,"yyyymmdd"),"")</f>
        <v/>
      </c>
      <c r="M48" s="29">
        <f>IF(AND(G48="申請中",C48&lt;&gt;"",D48&lt;&gt;""),C48&amp;"|"&amp;TEXT(D48,"yyyymmdd"),"")</f>
        <v/>
      </c>
    </row>
    <row r="49">
      <c r="B49" s="32" t="n"/>
      <c r="C49" s="33" t="n"/>
      <c r="D49" s="32" t="n"/>
      <c r="E49" s="34" t="n"/>
      <c r="F49" s="33" t="n"/>
      <c r="G49" s="34" t="n"/>
      <c r="H49" s="33" t="n"/>
      <c r="I49" s="22">
        <f>IF(D49="","",COUNTIFS(LOG_DATE,D49,LOG_STATE,"承認")+COUNTIFS(LOG_DATE,D49,LOG_STATE,"申請中")-IF(G49="却下",0,1))</f>
        <v/>
      </c>
      <c r="J49" s="22">
        <f>IF(D49="","",IFERROR(SUMPRODUCT((INDEX(STAFF_DAYS,0,WEEKDAY(D49,2))="○")*1)-I49-IF(G49="却下",0,1),"日付を確認"))</f>
        <v/>
      </c>
      <c r="K49" s="27">
        <f>IF(D49="","",IFERROR(IF(OR(INDEX(BIZ_DAYS,WEEKDAY(D49,2))="×",COUNTIF(HOLIDAYS,D49)&gt;0),"休業日",IF(J49&lt;MIN_ALL,"要確認","OK")),"日付を確認"))</f>
        <v/>
      </c>
      <c r="L49" s="29">
        <f>IF(AND(G49="承認",C49&lt;&gt;"",D49&lt;&gt;""),C49&amp;"|"&amp;TEXT(D49,"yyyymmdd"),"")</f>
        <v/>
      </c>
      <c r="M49" s="29">
        <f>IF(AND(G49="申請中",C49&lt;&gt;"",D49&lt;&gt;""),C49&amp;"|"&amp;TEXT(D49,"yyyymmdd"),"")</f>
        <v/>
      </c>
    </row>
    <row r="50">
      <c r="B50" s="32" t="n"/>
      <c r="C50" s="33" t="n"/>
      <c r="D50" s="32" t="n"/>
      <c r="E50" s="34" t="n"/>
      <c r="F50" s="33" t="n"/>
      <c r="G50" s="34" t="n"/>
      <c r="H50" s="33" t="n"/>
      <c r="I50" s="22">
        <f>IF(D50="","",COUNTIFS(LOG_DATE,D50,LOG_STATE,"承認")+COUNTIFS(LOG_DATE,D50,LOG_STATE,"申請中")-IF(G50="却下",0,1))</f>
        <v/>
      </c>
      <c r="J50" s="22">
        <f>IF(D50="","",IFERROR(SUMPRODUCT((INDEX(STAFF_DAYS,0,WEEKDAY(D50,2))="○")*1)-I50-IF(G50="却下",0,1),"日付を確認"))</f>
        <v/>
      </c>
      <c r="K50" s="27">
        <f>IF(D50="","",IFERROR(IF(OR(INDEX(BIZ_DAYS,WEEKDAY(D50,2))="×",COUNTIF(HOLIDAYS,D50)&gt;0),"休業日",IF(J50&lt;MIN_ALL,"要確認","OK")),"日付を確認"))</f>
        <v/>
      </c>
      <c r="L50" s="29">
        <f>IF(AND(G50="承認",C50&lt;&gt;"",D50&lt;&gt;""),C50&amp;"|"&amp;TEXT(D50,"yyyymmdd"),"")</f>
        <v/>
      </c>
      <c r="M50" s="29">
        <f>IF(AND(G50="申請中",C50&lt;&gt;"",D50&lt;&gt;""),C50&amp;"|"&amp;TEXT(D50,"yyyymmdd"),"")</f>
        <v/>
      </c>
    </row>
    <row r="51">
      <c r="B51" s="32" t="n"/>
      <c r="C51" s="33" t="n"/>
      <c r="D51" s="32" t="n"/>
      <c r="E51" s="34" t="n"/>
      <c r="F51" s="33" t="n"/>
      <c r="G51" s="34" t="n"/>
      <c r="H51" s="33" t="n"/>
      <c r="I51" s="22">
        <f>IF(D51="","",COUNTIFS(LOG_DATE,D51,LOG_STATE,"承認")+COUNTIFS(LOG_DATE,D51,LOG_STATE,"申請中")-IF(G51="却下",0,1))</f>
        <v/>
      </c>
      <c r="J51" s="22">
        <f>IF(D51="","",IFERROR(SUMPRODUCT((INDEX(STAFF_DAYS,0,WEEKDAY(D51,2))="○")*1)-I51-IF(G51="却下",0,1),"日付を確認"))</f>
        <v/>
      </c>
      <c r="K51" s="27">
        <f>IF(D51="","",IFERROR(IF(OR(INDEX(BIZ_DAYS,WEEKDAY(D51,2))="×",COUNTIF(HOLIDAYS,D51)&gt;0),"休業日",IF(J51&lt;MIN_ALL,"要確認","OK")),"日付を確認"))</f>
        <v/>
      </c>
      <c r="L51" s="29">
        <f>IF(AND(G51="承認",C51&lt;&gt;"",D51&lt;&gt;""),C51&amp;"|"&amp;TEXT(D51,"yyyymmdd"),"")</f>
        <v/>
      </c>
      <c r="M51" s="29">
        <f>IF(AND(G51="申請中",C51&lt;&gt;"",D51&lt;&gt;""),C51&amp;"|"&amp;TEXT(D51,"yyyymmdd"),"")</f>
        <v/>
      </c>
    </row>
    <row r="52">
      <c r="B52" s="32" t="n"/>
      <c r="C52" s="33" t="n"/>
      <c r="D52" s="32" t="n"/>
      <c r="E52" s="34" t="n"/>
      <c r="F52" s="33" t="n"/>
      <c r="G52" s="34" t="n"/>
      <c r="H52" s="33" t="n"/>
      <c r="I52" s="22">
        <f>IF(D52="","",COUNTIFS(LOG_DATE,D52,LOG_STATE,"承認")+COUNTIFS(LOG_DATE,D52,LOG_STATE,"申請中")-IF(G52="却下",0,1))</f>
        <v/>
      </c>
      <c r="J52" s="22">
        <f>IF(D52="","",IFERROR(SUMPRODUCT((INDEX(STAFF_DAYS,0,WEEKDAY(D52,2))="○")*1)-I52-IF(G52="却下",0,1),"日付を確認"))</f>
        <v/>
      </c>
      <c r="K52" s="27">
        <f>IF(D52="","",IFERROR(IF(OR(INDEX(BIZ_DAYS,WEEKDAY(D52,2))="×",COUNTIF(HOLIDAYS,D52)&gt;0),"休業日",IF(J52&lt;MIN_ALL,"要確認","OK")),"日付を確認"))</f>
        <v/>
      </c>
      <c r="L52" s="29">
        <f>IF(AND(G52="承認",C52&lt;&gt;"",D52&lt;&gt;""),C52&amp;"|"&amp;TEXT(D52,"yyyymmdd"),"")</f>
        <v/>
      </c>
      <c r="M52" s="29">
        <f>IF(AND(G52="申請中",C52&lt;&gt;"",D52&lt;&gt;""),C52&amp;"|"&amp;TEXT(D52,"yyyymmdd"),"")</f>
        <v/>
      </c>
    </row>
    <row r="53">
      <c r="B53" s="32" t="n"/>
      <c r="C53" s="33" t="n"/>
      <c r="D53" s="32" t="n"/>
      <c r="E53" s="34" t="n"/>
      <c r="F53" s="33" t="n"/>
      <c r="G53" s="34" t="n"/>
      <c r="H53" s="33" t="n"/>
      <c r="I53" s="22">
        <f>IF(D53="","",COUNTIFS(LOG_DATE,D53,LOG_STATE,"承認")+COUNTIFS(LOG_DATE,D53,LOG_STATE,"申請中")-IF(G53="却下",0,1))</f>
        <v/>
      </c>
      <c r="J53" s="22">
        <f>IF(D53="","",IFERROR(SUMPRODUCT((INDEX(STAFF_DAYS,0,WEEKDAY(D53,2))="○")*1)-I53-IF(G53="却下",0,1),"日付を確認"))</f>
        <v/>
      </c>
      <c r="K53" s="27">
        <f>IF(D53="","",IFERROR(IF(OR(INDEX(BIZ_DAYS,WEEKDAY(D53,2))="×",COUNTIF(HOLIDAYS,D53)&gt;0),"休業日",IF(J53&lt;MIN_ALL,"要確認","OK")),"日付を確認"))</f>
        <v/>
      </c>
      <c r="L53" s="29">
        <f>IF(AND(G53="承認",C53&lt;&gt;"",D53&lt;&gt;""),C53&amp;"|"&amp;TEXT(D53,"yyyymmdd"),"")</f>
        <v/>
      </c>
      <c r="M53" s="29">
        <f>IF(AND(G53="申請中",C53&lt;&gt;"",D53&lt;&gt;""),C53&amp;"|"&amp;TEXT(D53,"yyyymmdd"),"")</f>
        <v/>
      </c>
    </row>
    <row r="54">
      <c r="B54" s="32" t="n"/>
      <c r="C54" s="33" t="n"/>
      <c r="D54" s="32" t="n"/>
      <c r="E54" s="34" t="n"/>
      <c r="F54" s="33" t="n"/>
      <c r="G54" s="34" t="n"/>
      <c r="H54" s="33" t="n"/>
      <c r="I54" s="22">
        <f>IF(D54="","",COUNTIFS(LOG_DATE,D54,LOG_STATE,"承認")+COUNTIFS(LOG_DATE,D54,LOG_STATE,"申請中")-IF(G54="却下",0,1))</f>
        <v/>
      </c>
      <c r="J54" s="22">
        <f>IF(D54="","",IFERROR(SUMPRODUCT((INDEX(STAFF_DAYS,0,WEEKDAY(D54,2))="○")*1)-I54-IF(G54="却下",0,1),"日付を確認"))</f>
        <v/>
      </c>
      <c r="K54" s="27">
        <f>IF(D54="","",IFERROR(IF(OR(INDEX(BIZ_DAYS,WEEKDAY(D54,2))="×",COUNTIF(HOLIDAYS,D54)&gt;0),"休業日",IF(J54&lt;MIN_ALL,"要確認","OK")),"日付を確認"))</f>
        <v/>
      </c>
      <c r="L54" s="29">
        <f>IF(AND(G54="承認",C54&lt;&gt;"",D54&lt;&gt;""),C54&amp;"|"&amp;TEXT(D54,"yyyymmdd"),"")</f>
        <v/>
      </c>
      <c r="M54" s="29">
        <f>IF(AND(G54="申請中",C54&lt;&gt;"",D54&lt;&gt;""),C54&amp;"|"&amp;TEXT(D54,"yyyymmdd"),"")</f>
        <v/>
      </c>
    </row>
    <row r="55">
      <c r="B55" s="32" t="n"/>
      <c r="C55" s="33" t="n"/>
      <c r="D55" s="32" t="n"/>
      <c r="E55" s="34" t="n"/>
      <c r="F55" s="33" t="n"/>
      <c r="G55" s="34" t="n"/>
      <c r="H55" s="33" t="n"/>
      <c r="I55" s="22">
        <f>IF(D55="","",COUNTIFS(LOG_DATE,D55,LOG_STATE,"承認")+COUNTIFS(LOG_DATE,D55,LOG_STATE,"申請中")-IF(G55="却下",0,1))</f>
        <v/>
      </c>
      <c r="J55" s="22">
        <f>IF(D55="","",IFERROR(SUMPRODUCT((INDEX(STAFF_DAYS,0,WEEKDAY(D55,2))="○")*1)-I55-IF(G55="却下",0,1),"日付を確認"))</f>
        <v/>
      </c>
      <c r="K55" s="27">
        <f>IF(D55="","",IFERROR(IF(OR(INDEX(BIZ_DAYS,WEEKDAY(D55,2))="×",COUNTIF(HOLIDAYS,D55)&gt;0),"休業日",IF(J55&lt;MIN_ALL,"要確認","OK")),"日付を確認"))</f>
        <v/>
      </c>
      <c r="L55" s="29">
        <f>IF(AND(G55="承認",C55&lt;&gt;"",D55&lt;&gt;""),C55&amp;"|"&amp;TEXT(D55,"yyyymmdd"),"")</f>
        <v/>
      </c>
      <c r="M55" s="29">
        <f>IF(AND(G55="申請中",C55&lt;&gt;"",D55&lt;&gt;""),C55&amp;"|"&amp;TEXT(D55,"yyyymmdd"),"")</f>
        <v/>
      </c>
    </row>
    <row r="56">
      <c r="B56" s="32" t="n"/>
      <c r="C56" s="33" t="n"/>
      <c r="D56" s="32" t="n"/>
      <c r="E56" s="34" t="n"/>
      <c r="F56" s="33" t="n"/>
      <c r="G56" s="34" t="n"/>
      <c r="H56" s="33" t="n"/>
      <c r="I56" s="22">
        <f>IF(D56="","",COUNTIFS(LOG_DATE,D56,LOG_STATE,"承認")+COUNTIFS(LOG_DATE,D56,LOG_STATE,"申請中")-IF(G56="却下",0,1))</f>
        <v/>
      </c>
      <c r="J56" s="22">
        <f>IF(D56="","",IFERROR(SUMPRODUCT((INDEX(STAFF_DAYS,0,WEEKDAY(D56,2))="○")*1)-I56-IF(G56="却下",0,1),"日付を確認"))</f>
        <v/>
      </c>
      <c r="K56" s="27">
        <f>IF(D56="","",IFERROR(IF(OR(INDEX(BIZ_DAYS,WEEKDAY(D56,2))="×",COUNTIF(HOLIDAYS,D56)&gt;0),"休業日",IF(J56&lt;MIN_ALL,"要確認","OK")),"日付を確認"))</f>
        <v/>
      </c>
      <c r="L56" s="29">
        <f>IF(AND(G56="承認",C56&lt;&gt;"",D56&lt;&gt;""),C56&amp;"|"&amp;TEXT(D56,"yyyymmdd"),"")</f>
        <v/>
      </c>
      <c r="M56" s="29">
        <f>IF(AND(G56="申請中",C56&lt;&gt;"",D56&lt;&gt;""),C56&amp;"|"&amp;TEXT(D56,"yyyymmdd"),"")</f>
        <v/>
      </c>
    </row>
    <row r="57">
      <c r="B57" s="32" t="n"/>
      <c r="C57" s="33" t="n"/>
      <c r="D57" s="32" t="n"/>
      <c r="E57" s="34" t="n"/>
      <c r="F57" s="33" t="n"/>
      <c r="G57" s="34" t="n"/>
      <c r="H57" s="33" t="n"/>
      <c r="I57" s="22">
        <f>IF(D57="","",COUNTIFS(LOG_DATE,D57,LOG_STATE,"承認")+COUNTIFS(LOG_DATE,D57,LOG_STATE,"申請中")-IF(G57="却下",0,1))</f>
        <v/>
      </c>
      <c r="J57" s="22">
        <f>IF(D57="","",IFERROR(SUMPRODUCT((INDEX(STAFF_DAYS,0,WEEKDAY(D57,2))="○")*1)-I57-IF(G57="却下",0,1),"日付を確認"))</f>
        <v/>
      </c>
      <c r="K57" s="27">
        <f>IF(D57="","",IFERROR(IF(OR(INDEX(BIZ_DAYS,WEEKDAY(D57,2))="×",COUNTIF(HOLIDAYS,D57)&gt;0),"休業日",IF(J57&lt;MIN_ALL,"要確認","OK")),"日付を確認"))</f>
        <v/>
      </c>
      <c r="L57" s="29">
        <f>IF(AND(G57="承認",C57&lt;&gt;"",D57&lt;&gt;""),C57&amp;"|"&amp;TEXT(D57,"yyyymmdd"),"")</f>
        <v/>
      </c>
      <c r="M57" s="29">
        <f>IF(AND(G57="申請中",C57&lt;&gt;"",D57&lt;&gt;""),C57&amp;"|"&amp;TEXT(D57,"yyyymmdd"),"")</f>
        <v/>
      </c>
    </row>
    <row r="58">
      <c r="B58" s="32" t="n"/>
      <c r="C58" s="33" t="n"/>
      <c r="D58" s="32" t="n"/>
      <c r="E58" s="34" t="n"/>
      <c r="F58" s="33" t="n"/>
      <c r="G58" s="34" t="n"/>
      <c r="H58" s="33" t="n"/>
      <c r="I58" s="22">
        <f>IF(D58="","",COUNTIFS(LOG_DATE,D58,LOG_STATE,"承認")+COUNTIFS(LOG_DATE,D58,LOG_STATE,"申請中")-IF(G58="却下",0,1))</f>
        <v/>
      </c>
      <c r="J58" s="22">
        <f>IF(D58="","",IFERROR(SUMPRODUCT((INDEX(STAFF_DAYS,0,WEEKDAY(D58,2))="○")*1)-I58-IF(G58="却下",0,1),"日付を確認"))</f>
        <v/>
      </c>
      <c r="K58" s="27">
        <f>IF(D58="","",IFERROR(IF(OR(INDEX(BIZ_DAYS,WEEKDAY(D58,2))="×",COUNTIF(HOLIDAYS,D58)&gt;0),"休業日",IF(J58&lt;MIN_ALL,"要確認","OK")),"日付を確認"))</f>
        <v/>
      </c>
      <c r="L58" s="29">
        <f>IF(AND(G58="承認",C58&lt;&gt;"",D58&lt;&gt;""),C58&amp;"|"&amp;TEXT(D58,"yyyymmdd"),"")</f>
        <v/>
      </c>
      <c r="M58" s="29">
        <f>IF(AND(G58="申請中",C58&lt;&gt;"",D58&lt;&gt;""),C58&amp;"|"&amp;TEXT(D58,"yyyymmdd"),"")</f>
        <v/>
      </c>
    </row>
    <row r="59">
      <c r="B59" s="32" t="n"/>
      <c r="C59" s="33" t="n"/>
      <c r="D59" s="32" t="n"/>
      <c r="E59" s="34" t="n"/>
      <c r="F59" s="33" t="n"/>
      <c r="G59" s="34" t="n"/>
      <c r="H59" s="33" t="n"/>
      <c r="I59" s="22">
        <f>IF(D59="","",COUNTIFS(LOG_DATE,D59,LOG_STATE,"承認")+COUNTIFS(LOG_DATE,D59,LOG_STATE,"申請中")-IF(G59="却下",0,1))</f>
        <v/>
      </c>
      <c r="J59" s="22">
        <f>IF(D59="","",IFERROR(SUMPRODUCT((INDEX(STAFF_DAYS,0,WEEKDAY(D59,2))="○")*1)-I59-IF(G59="却下",0,1),"日付を確認"))</f>
        <v/>
      </c>
      <c r="K59" s="27">
        <f>IF(D59="","",IFERROR(IF(OR(INDEX(BIZ_DAYS,WEEKDAY(D59,2))="×",COUNTIF(HOLIDAYS,D59)&gt;0),"休業日",IF(J59&lt;MIN_ALL,"要確認","OK")),"日付を確認"))</f>
        <v/>
      </c>
      <c r="L59" s="29">
        <f>IF(AND(G59="承認",C59&lt;&gt;"",D59&lt;&gt;""),C59&amp;"|"&amp;TEXT(D59,"yyyymmdd"),"")</f>
        <v/>
      </c>
      <c r="M59" s="29">
        <f>IF(AND(G59="申請中",C59&lt;&gt;"",D59&lt;&gt;""),C59&amp;"|"&amp;TEXT(D59,"yyyymmdd"),"")</f>
        <v/>
      </c>
    </row>
    <row r="60">
      <c r="B60" s="32" t="n"/>
      <c r="C60" s="33" t="n"/>
      <c r="D60" s="32" t="n"/>
      <c r="E60" s="34" t="n"/>
      <c r="F60" s="33" t="n"/>
      <c r="G60" s="34" t="n"/>
      <c r="H60" s="33" t="n"/>
      <c r="I60" s="22">
        <f>IF(D60="","",COUNTIFS(LOG_DATE,D60,LOG_STATE,"承認")+COUNTIFS(LOG_DATE,D60,LOG_STATE,"申請中")-IF(G60="却下",0,1))</f>
        <v/>
      </c>
      <c r="J60" s="22">
        <f>IF(D60="","",IFERROR(SUMPRODUCT((INDEX(STAFF_DAYS,0,WEEKDAY(D60,2))="○")*1)-I60-IF(G60="却下",0,1),"日付を確認"))</f>
        <v/>
      </c>
      <c r="K60" s="27">
        <f>IF(D60="","",IFERROR(IF(OR(INDEX(BIZ_DAYS,WEEKDAY(D60,2))="×",COUNTIF(HOLIDAYS,D60)&gt;0),"休業日",IF(J60&lt;MIN_ALL,"要確認","OK")),"日付を確認"))</f>
        <v/>
      </c>
      <c r="L60" s="29">
        <f>IF(AND(G60="承認",C60&lt;&gt;"",D60&lt;&gt;""),C60&amp;"|"&amp;TEXT(D60,"yyyymmdd"),"")</f>
        <v/>
      </c>
      <c r="M60" s="29">
        <f>IF(AND(G60="申請中",C60&lt;&gt;"",D60&lt;&gt;""),C60&amp;"|"&amp;TEXT(D60,"yyyymmdd"),"")</f>
        <v/>
      </c>
    </row>
    <row r="61">
      <c r="B61" s="32" t="n"/>
      <c r="C61" s="33" t="n"/>
      <c r="D61" s="32" t="n"/>
      <c r="E61" s="34" t="n"/>
      <c r="F61" s="33" t="n"/>
      <c r="G61" s="34" t="n"/>
      <c r="H61" s="33" t="n"/>
      <c r="I61" s="22">
        <f>IF(D61="","",COUNTIFS(LOG_DATE,D61,LOG_STATE,"承認")+COUNTIFS(LOG_DATE,D61,LOG_STATE,"申請中")-IF(G61="却下",0,1))</f>
        <v/>
      </c>
      <c r="J61" s="22">
        <f>IF(D61="","",IFERROR(SUMPRODUCT((INDEX(STAFF_DAYS,0,WEEKDAY(D61,2))="○")*1)-I61-IF(G61="却下",0,1),"日付を確認"))</f>
        <v/>
      </c>
      <c r="K61" s="27">
        <f>IF(D61="","",IFERROR(IF(OR(INDEX(BIZ_DAYS,WEEKDAY(D61,2))="×",COUNTIF(HOLIDAYS,D61)&gt;0),"休業日",IF(J61&lt;MIN_ALL,"要確認","OK")),"日付を確認"))</f>
        <v/>
      </c>
      <c r="L61" s="29">
        <f>IF(AND(G61="承認",C61&lt;&gt;"",D61&lt;&gt;""),C61&amp;"|"&amp;TEXT(D61,"yyyymmdd"),"")</f>
        <v/>
      </c>
      <c r="M61" s="29">
        <f>IF(AND(G61="申請中",C61&lt;&gt;"",D61&lt;&gt;""),C61&amp;"|"&amp;TEXT(D61,"yyyymmdd"),"")</f>
        <v/>
      </c>
    </row>
    <row r="62">
      <c r="B62" s="32" t="n"/>
      <c r="C62" s="33" t="n"/>
      <c r="D62" s="32" t="n"/>
      <c r="E62" s="34" t="n"/>
      <c r="F62" s="33" t="n"/>
      <c r="G62" s="34" t="n"/>
      <c r="H62" s="33" t="n"/>
      <c r="I62" s="22">
        <f>IF(D62="","",COUNTIFS(LOG_DATE,D62,LOG_STATE,"承認")+COUNTIFS(LOG_DATE,D62,LOG_STATE,"申請中")-IF(G62="却下",0,1))</f>
        <v/>
      </c>
      <c r="J62" s="22">
        <f>IF(D62="","",IFERROR(SUMPRODUCT((INDEX(STAFF_DAYS,0,WEEKDAY(D62,2))="○")*1)-I62-IF(G62="却下",0,1),"日付を確認"))</f>
        <v/>
      </c>
      <c r="K62" s="27">
        <f>IF(D62="","",IFERROR(IF(OR(INDEX(BIZ_DAYS,WEEKDAY(D62,2))="×",COUNTIF(HOLIDAYS,D62)&gt;0),"休業日",IF(J62&lt;MIN_ALL,"要確認","OK")),"日付を確認"))</f>
        <v/>
      </c>
      <c r="L62" s="29">
        <f>IF(AND(G62="承認",C62&lt;&gt;"",D62&lt;&gt;""),C62&amp;"|"&amp;TEXT(D62,"yyyymmdd"),"")</f>
        <v/>
      </c>
      <c r="M62" s="29">
        <f>IF(AND(G62="申請中",C62&lt;&gt;"",D62&lt;&gt;""),C62&amp;"|"&amp;TEXT(D62,"yyyymmdd"),"")</f>
        <v/>
      </c>
    </row>
    <row r="63">
      <c r="B63" s="32" t="n"/>
      <c r="C63" s="33" t="n"/>
      <c r="D63" s="32" t="n"/>
      <c r="E63" s="34" t="n"/>
      <c r="F63" s="33" t="n"/>
      <c r="G63" s="34" t="n"/>
      <c r="H63" s="33" t="n"/>
      <c r="I63" s="22">
        <f>IF(D63="","",COUNTIFS(LOG_DATE,D63,LOG_STATE,"承認")+COUNTIFS(LOG_DATE,D63,LOG_STATE,"申請中")-IF(G63="却下",0,1))</f>
        <v/>
      </c>
      <c r="J63" s="22">
        <f>IF(D63="","",IFERROR(SUMPRODUCT((INDEX(STAFF_DAYS,0,WEEKDAY(D63,2))="○")*1)-I63-IF(G63="却下",0,1),"日付を確認"))</f>
        <v/>
      </c>
      <c r="K63" s="27">
        <f>IF(D63="","",IFERROR(IF(OR(INDEX(BIZ_DAYS,WEEKDAY(D63,2))="×",COUNTIF(HOLIDAYS,D63)&gt;0),"休業日",IF(J63&lt;MIN_ALL,"要確認","OK")),"日付を確認"))</f>
        <v/>
      </c>
      <c r="L63" s="29">
        <f>IF(AND(G63="承認",C63&lt;&gt;"",D63&lt;&gt;""),C63&amp;"|"&amp;TEXT(D63,"yyyymmdd"),"")</f>
        <v/>
      </c>
      <c r="M63" s="29">
        <f>IF(AND(G63="申請中",C63&lt;&gt;"",D63&lt;&gt;""),C63&amp;"|"&amp;TEXT(D63,"yyyymmdd"),"")</f>
        <v/>
      </c>
    </row>
    <row r="64">
      <c r="B64" s="32" t="n"/>
      <c r="C64" s="33" t="n"/>
      <c r="D64" s="32" t="n"/>
      <c r="E64" s="34" t="n"/>
      <c r="F64" s="33" t="n"/>
      <c r="G64" s="34" t="n"/>
      <c r="H64" s="33" t="n"/>
      <c r="I64" s="22">
        <f>IF(D64="","",COUNTIFS(LOG_DATE,D64,LOG_STATE,"承認")+COUNTIFS(LOG_DATE,D64,LOG_STATE,"申請中")-IF(G64="却下",0,1))</f>
        <v/>
      </c>
      <c r="J64" s="22">
        <f>IF(D64="","",IFERROR(SUMPRODUCT((INDEX(STAFF_DAYS,0,WEEKDAY(D64,2))="○")*1)-I64-IF(G64="却下",0,1),"日付を確認"))</f>
        <v/>
      </c>
      <c r="K64" s="27">
        <f>IF(D64="","",IFERROR(IF(OR(INDEX(BIZ_DAYS,WEEKDAY(D64,2))="×",COUNTIF(HOLIDAYS,D64)&gt;0),"休業日",IF(J64&lt;MIN_ALL,"要確認","OK")),"日付を確認"))</f>
        <v/>
      </c>
      <c r="L64" s="29">
        <f>IF(AND(G64="承認",C64&lt;&gt;"",D64&lt;&gt;""),C64&amp;"|"&amp;TEXT(D64,"yyyymmdd"),"")</f>
        <v/>
      </c>
      <c r="M64" s="29">
        <f>IF(AND(G64="申請中",C64&lt;&gt;"",D64&lt;&gt;""),C64&amp;"|"&amp;TEXT(D64,"yyyymmdd"),"")</f>
        <v/>
      </c>
    </row>
    <row r="65">
      <c r="B65" s="32" t="n"/>
      <c r="C65" s="33" t="n"/>
      <c r="D65" s="32" t="n"/>
      <c r="E65" s="34" t="n"/>
      <c r="F65" s="33" t="n"/>
      <c r="G65" s="34" t="n"/>
      <c r="H65" s="33" t="n"/>
      <c r="I65" s="22">
        <f>IF(D65="","",COUNTIFS(LOG_DATE,D65,LOG_STATE,"承認")+COUNTIFS(LOG_DATE,D65,LOG_STATE,"申請中")-IF(G65="却下",0,1))</f>
        <v/>
      </c>
      <c r="J65" s="22">
        <f>IF(D65="","",IFERROR(SUMPRODUCT((INDEX(STAFF_DAYS,0,WEEKDAY(D65,2))="○")*1)-I65-IF(G65="却下",0,1),"日付を確認"))</f>
        <v/>
      </c>
      <c r="K65" s="27">
        <f>IF(D65="","",IFERROR(IF(OR(INDEX(BIZ_DAYS,WEEKDAY(D65,2))="×",COUNTIF(HOLIDAYS,D65)&gt;0),"休業日",IF(J65&lt;MIN_ALL,"要確認","OK")),"日付を確認"))</f>
        <v/>
      </c>
      <c r="L65" s="29">
        <f>IF(AND(G65="承認",C65&lt;&gt;"",D65&lt;&gt;""),C65&amp;"|"&amp;TEXT(D65,"yyyymmdd"),"")</f>
        <v/>
      </c>
      <c r="M65" s="29">
        <f>IF(AND(G65="申請中",C65&lt;&gt;"",D65&lt;&gt;""),C65&amp;"|"&amp;TEXT(D65,"yyyymmdd"),"")</f>
        <v/>
      </c>
    </row>
    <row r="66">
      <c r="B66" s="32" t="n"/>
      <c r="C66" s="33" t="n"/>
      <c r="D66" s="32" t="n"/>
      <c r="E66" s="34" t="n"/>
      <c r="F66" s="33" t="n"/>
      <c r="G66" s="34" t="n"/>
      <c r="H66" s="33" t="n"/>
      <c r="I66" s="22">
        <f>IF(D66="","",COUNTIFS(LOG_DATE,D66,LOG_STATE,"承認")+COUNTIFS(LOG_DATE,D66,LOG_STATE,"申請中")-IF(G66="却下",0,1))</f>
        <v/>
      </c>
      <c r="J66" s="22">
        <f>IF(D66="","",IFERROR(SUMPRODUCT((INDEX(STAFF_DAYS,0,WEEKDAY(D66,2))="○")*1)-I66-IF(G66="却下",0,1),"日付を確認"))</f>
        <v/>
      </c>
      <c r="K66" s="27">
        <f>IF(D66="","",IFERROR(IF(OR(INDEX(BIZ_DAYS,WEEKDAY(D66,2))="×",COUNTIF(HOLIDAYS,D66)&gt;0),"休業日",IF(J66&lt;MIN_ALL,"要確認","OK")),"日付を確認"))</f>
        <v/>
      </c>
      <c r="L66" s="29">
        <f>IF(AND(G66="承認",C66&lt;&gt;"",D66&lt;&gt;""),C66&amp;"|"&amp;TEXT(D66,"yyyymmdd"),"")</f>
        <v/>
      </c>
      <c r="M66" s="29">
        <f>IF(AND(G66="申請中",C66&lt;&gt;"",D66&lt;&gt;""),C66&amp;"|"&amp;TEXT(D66,"yyyymmdd"),"")</f>
        <v/>
      </c>
    </row>
    <row r="67">
      <c r="B67" s="32" t="n"/>
      <c r="C67" s="33" t="n"/>
      <c r="D67" s="32" t="n"/>
      <c r="E67" s="34" t="n"/>
      <c r="F67" s="33" t="n"/>
      <c r="G67" s="34" t="n"/>
      <c r="H67" s="33" t="n"/>
      <c r="I67" s="22">
        <f>IF(D67="","",COUNTIFS(LOG_DATE,D67,LOG_STATE,"承認")+COUNTIFS(LOG_DATE,D67,LOG_STATE,"申請中")-IF(G67="却下",0,1))</f>
        <v/>
      </c>
      <c r="J67" s="22">
        <f>IF(D67="","",IFERROR(SUMPRODUCT((INDEX(STAFF_DAYS,0,WEEKDAY(D67,2))="○")*1)-I67-IF(G67="却下",0,1),"日付を確認"))</f>
        <v/>
      </c>
      <c r="K67" s="27">
        <f>IF(D67="","",IFERROR(IF(OR(INDEX(BIZ_DAYS,WEEKDAY(D67,2))="×",COUNTIF(HOLIDAYS,D67)&gt;0),"休業日",IF(J67&lt;MIN_ALL,"要確認","OK")),"日付を確認"))</f>
        <v/>
      </c>
      <c r="L67" s="29">
        <f>IF(AND(G67="承認",C67&lt;&gt;"",D67&lt;&gt;""),C67&amp;"|"&amp;TEXT(D67,"yyyymmdd"),"")</f>
        <v/>
      </c>
      <c r="M67" s="29">
        <f>IF(AND(G67="申請中",C67&lt;&gt;"",D67&lt;&gt;""),C67&amp;"|"&amp;TEXT(D67,"yyyymmdd"),"")</f>
        <v/>
      </c>
    </row>
    <row r="68">
      <c r="B68" s="32" t="n"/>
      <c r="C68" s="33" t="n"/>
      <c r="D68" s="32" t="n"/>
      <c r="E68" s="34" t="n"/>
      <c r="F68" s="33" t="n"/>
      <c r="G68" s="34" t="n"/>
      <c r="H68" s="33" t="n"/>
      <c r="I68" s="22">
        <f>IF(D68="","",COUNTIFS(LOG_DATE,D68,LOG_STATE,"承認")+COUNTIFS(LOG_DATE,D68,LOG_STATE,"申請中")-IF(G68="却下",0,1))</f>
        <v/>
      </c>
      <c r="J68" s="22">
        <f>IF(D68="","",IFERROR(SUMPRODUCT((INDEX(STAFF_DAYS,0,WEEKDAY(D68,2))="○")*1)-I68-IF(G68="却下",0,1),"日付を確認"))</f>
        <v/>
      </c>
      <c r="K68" s="27">
        <f>IF(D68="","",IFERROR(IF(OR(INDEX(BIZ_DAYS,WEEKDAY(D68,2))="×",COUNTIF(HOLIDAYS,D68)&gt;0),"休業日",IF(J68&lt;MIN_ALL,"要確認","OK")),"日付を確認"))</f>
        <v/>
      </c>
      <c r="L68" s="29">
        <f>IF(AND(G68="承認",C68&lt;&gt;"",D68&lt;&gt;""),C68&amp;"|"&amp;TEXT(D68,"yyyymmdd"),"")</f>
        <v/>
      </c>
      <c r="M68" s="29">
        <f>IF(AND(G68="申請中",C68&lt;&gt;"",D68&lt;&gt;""),C68&amp;"|"&amp;TEXT(D68,"yyyymmdd"),"")</f>
        <v/>
      </c>
    </row>
    <row r="69">
      <c r="B69" s="32" t="n"/>
      <c r="C69" s="33" t="n"/>
      <c r="D69" s="32" t="n"/>
      <c r="E69" s="34" t="n"/>
      <c r="F69" s="33" t="n"/>
      <c r="G69" s="34" t="n"/>
      <c r="H69" s="33" t="n"/>
      <c r="I69" s="22">
        <f>IF(D69="","",COUNTIFS(LOG_DATE,D69,LOG_STATE,"承認")+COUNTIFS(LOG_DATE,D69,LOG_STATE,"申請中")-IF(G69="却下",0,1))</f>
        <v/>
      </c>
      <c r="J69" s="22">
        <f>IF(D69="","",IFERROR(SUMPRODUCT((INDEX(STAFF_DAYS,0,WEEKDAY(D69,2))="○")*1)-I69-IF(G69="却下",0,1),"日付を確認"))</f>
        <v/>
      </c>
      <c r="K69" s="27">
        <f>IF(D69="","",IFERROR(IF(OR(INDEX(BIZ_DAYS,WEEKDAY(D69,2))="×",COUNTIF(HOLIDAYS,D69)&gt;0),"休業日",IF(J69&lt;MIN_ALL,"要確認","OK")),"日付を確認"))</f>
        <v/>
      </c>
      <c r="L69" s="29">
        <f>IF(AND(G69="承認",C69&lt;&gt;"",D69&lt;&gt;""),C69&amp;"|"&amp;TEXT(D69,"yyyymmdd"),"")</f>
        <v/>
      </c>
      <c r="M69" s="29">
        <f>IF(AND(G69="申請中",C69&lt;&gt;"",D69&lt;&gt;""),C69&amp;"|"&amp;TEXT(D69,"yyyymmdd"),"")</f>
        <v/>
      </c>
    </row>
    <row r="70">
      <c r="B70" s="32" t="n"/>
      <c r="C70" s="33" t="n"/>
      <c r="D70" s="32" t="n"/>
      <c r="E70" s="34" t="n"/>
      <c r="F70" s="33" t="n"/>
      <c r="G70" s="34" t="n"/>
      <c r="H70" s="33" t="n"/>
      <c r="I70" s="22">
        <f>IF(D70="","",COUNTIFS(LOG_DATE,D70,LOG_STATE,"承認")+COUNTIFS(LOG_DATE,D70,LOG_STATE,"申請中")-IF(G70="却下",0,1))</f>
        <v/>
      </c>
      <c r="J70" s="22">
        <f>IF(D70="","",IFERROR(SUMPRODUCT((INDEX(STAFF_DAYS,0,WEEKDAY(D70,2))="○")*1)-I70-IF(G70="却下",0,1),"日付を確認"))</f>
        <v/>
      </c>
      <c r="K70" s="27">
        <f>IF(D70="","",IFERROR(IF(OR(INDEX(BIZ_DAYS,WEEKDAY(D70,2))="×",COUNTIF(HOLIDAYS,D70)&gt;0),"休業日",IF(J70&lt;MIN_ALL,"要確認","OK")),"日付を確認"))</f>
        <v/>
      </c>
      <c r="L70" s="29">
        <f>IF(AND(G70="承認",C70&lt;&gt;"",D70&lt;&gt;""),C70&amp;"|"&amp;TEXT(D70,"yyyymmdd"),"")</f>
        <v/>
      </c>
      <c r="M70" s="29">
        <f>IF(AND(G70="申請中",C70&lt;&gt;"",D70&lt;&gt;""),C70&amp;"|"&amp;TEXT(D70,"yyyymmdd"),"")</f>
        <v/>
      </c>
    </row>
    <row r="71">
      <c r="B71" s="32" t="n"/>
      <c r="C71" s="33" t="n"/>
      <c r="D71" s="32" t="n"/>
      <c r="E71" s="34" t="n"/>
      <c r="F71" s="33" t="n"/>
      <c r="G71" s="34" t="n"/>
      <c r="H71" s="33" t="n"/>
      <c r="I71" s="22">
        <f>IF(D71="","",COUNTIFS(LOG_DATE,D71,LOG_STATE,"承認")+COUNTIFS(LOG_DATE,D71,LOG_STATE,"申請中")-IF(G71="却下",0,1))</f>
        <v/>
      </c>
      <c r="J71" s="22">
        <f>IF(D71="","",IFERROR(SUMPRODUCT((INDEX(STAFF_DAYS,0,WEEKDAY(D71,2))="○")*1)-I71-IF(G71="却下",0,1),"日付を確認"))</f>
        <v/>
      </c>
      <c r="K71" s="27">
        <f>IF(D71="","",IFERROR(IF(OR(INDEX(BIZ_DAYS,WEEKDAY(D71,2))="×",COUNTIF(HOLIDAYS,D71)&gt;0),"休業日",IF(J71&lt;MIN_ALL,"要確認","OK")),"日付を確認"))</f>
        <v/>
      </c>
      <c r="L71" s="29">
        <f>IF(AND(G71="承認",C71&lt;&gt;"",D71&lt;&gt;""),C71&amp;"|"&amp;TEXT(D71,"yyyymmdd"),"")</f>
        <v/>
      </c>
      <c r="M71" s="29">
        <f>IF(AND(G71="申請中",C71&lt;&gt;"",D71&lt;&gt;""),C71&amp;"|"&amp;TEXT(D71,"yyyymmdd"),"")</f>
        <v/>
      </c>
    </row>
    <row r="72">
      <c r="B72" s="32" t="n"/>
      <c r="C72" s="33" t="n"/>
      <c r="D72" s="32" t="n"/>
      <c r="E72" s="34" t="n"/>
      <c r="F72" s="33" t="n"/>
      <c r="G72" s="34" t="n"/>
      <c r="H72" s="33" t="n"/>
      <c r="I72" s="22">
        <f>IF(D72="","",COUNTIFS(LOG_DATE,D72,LOG_STATE,"承認")+COUNTIFS(LOG_DATE,D72,LOG_STATE,"申請中")-IF(G72="却下",0,1))</f>
        <v/>
      </c>
      <c r="J72" s="22">
        <f>IF(D72="","",IFERROR(SUMPRODUCT((INDEX(STAFF_DAYS,0,WEEKDAY(D72,2))="○")*1)-I72-IF(G72="却下",0,1),"日付を確認"))</f>
        <v/>
      </c>
      <c r="K72" s="27">
        <f>IF(D72="","",IFERROR(IF(OR(INDEX(BIZ_DAYS,WEEKDAY(D72,2))="×",COUNTIF(HOLIDAYS,D72)&gt;0),"休業日",IF(J72&lt;MIN_ALL,"要確認","OK")),"日付を確認"))</f>
        <v/>
      </c>
      <c r="L72" s="29">
        <f>IF(AND(G72="承認",C72&lt;&gt;"",D72&lt;&gt;""),C72&amp;"|"&amp;TEXT(D72,"yyyymmdd"),"")</f>
        <v/>
      </c>
      <c r="M72" s="29">
        <f>IF(AND(G72="申請中",C72&lt;&gt;"",D72&lt;&gt;""),C72&amp;"|"&amp;TEXT(D72,"yyyymmdd"),"")</f>
        <v/>
      </c>
    </row>
    <row r="73">
      <c r="B73" s="32" t="n"/>
      <c r="C73" s="33" t="n"/>
      <c r="D73" s="32" t="n"/>
      <c r="E73" s="34" t="n"/>
      <c r="F73" s="33" t="n"/>
      <c r="G73" s="34" t="n"/>
      <c r="H73" s="33" t="n"/>
      <c r="I73" s="22">
        <f>IF(D73="","",COUNTIFS(LOG_DATE,D73,LOG_STATE,"承認")+COUNTIFS(LOG_DATE,D73,LOG_STATE,"申請中")-IF(G73="却下",0,1))</f>
        <v/>
      </c>
      <c r="J73" s="22">
        <f>IF(D73="","",IFERROR(SUMPRODUCT((INDEX(STAFF_DAYS,0,WEEKDAY(D73,2))="○")*1)-I73-IF(G73="却下",0,1),"日付を確認"))</f>
        <v/>
      </c>
      <c r="K73" s="27">
        <f>IF(D73="","",IFERROR(IF(OR(INDEX(BIZ_DAYS,WEEKDAY(D73,2))="×",COUNTIF(HOLIDAYS,D73)&gt;0),"休業日",IF(J73&lt;MIN_ALL,"要確認","OK")),"日付を確認"))</f>
        <v/>
      </c>
      <c r="L73" s="29">
        <f>IF(AND(G73="承認",C73&lt;&gt;"",D73&lt;&gt;""),C73&amp;"|"&amp;TEXT(D73,"yyyymmdd"),"")</f>
        <v/>
      </c>
      <c r="M73" s="29">
        <f>IF(AND(G73="申請中",C73&lt;&gt;"",D73&lt;&gt;""),C73&amp;"|"&amp;TEXT(D73,"yyyymmdd"),"")</f>
        <v/>
      </c>
    </row>
    <row r="74">
      <c r="B74" s="32" t="n"/>
      <c r="C74" s="33" t="n"/>
      <c r="D74" s="32" t="n"/>
      <c r="E74" s="34" t="n"/>
      <c r="F74" s="33" t="n"/>
      <c r="G74" s="34" t="n"/>
      <c r="H74" s="33" t="n"/>
      <c r="I74" s="22">
        <f>IF(D74="","",COUNTIFS(LOG_DATE,D74,LOG_STATE,"承認")+COUNTIFS(LOG_DATE,D74,LOG_STATE,"申請中")-IF(G74="却下",0,1))</f>
        <v/>
      </c>
      <c r="J74" s="22">
        <f>IF(D74="","",IFERROR(SUMPRODUCT((INDEX(STAFF_DAYS,0,WEEKDAY(D74,2))="○")*1)-I74-IF(G74="却下",0,1),"日付を確認"))</f>
        <v/>
      </c>
      <c r="K74" s="27">
        <f>IF(D74="","",IFERROR(IF(OR(INDEX(BIZ_DAYS,WEEKDAY(D74,2))="×",COUNTIF(HOLIDAYS,D74)&gt;0),"休業日",IF(J74&lt;MIN_ALL,"要確認","OK")),"日付を確認"))</f>
        <v/>
      </c>
      <c r="L74" s="29">
        <f>IF(AND(G74="承認",C74&lt;&gt;"",D74&lt;&gt;""),C74&amp;"|"&amp;TEXT(D74,"yyyymmdd"),"")</f>
        <v/>
      </c>
      <c r="M74" s="29">
        <f>IF(AND(G74="申請中",C74&lt;&gt;"",D74&lt;&gt;""),C74&amp;"|"&amp;TEXT(D74,"yyyymmdd"),"")</f>
        <v/>
      </c>
    </row>
    <row r="75">
      <c r="B75" s="32" t="n"/>
      <c r="C75" s="33" t="n"/>
      <c r="D75" s="32" t="n"/>
      <c r="E75" s="34" t="n"/>
      <c r="F75" s="33" t="n"/>
      <c r="G75" s="34" t="n"/>
      <c r="H75" s="33" t="n"/>
      <c r="I75" s="22">
        <f>IF(D75="","",COUNTIFS(LOG_DATE,D75,LOG_STATE,"承認")+COUNTIFS(LOG_DATE,D75,LOG_STATE,"申請中")-IF(G75="却下",0,1))</f>
        <v/>
      </c>
      <c r="J75" s="22">
        <f>IF(D75="","",IFERROR(SUMPRODUCT((INDEX(STAFF_DAYS,0,WEEKDAY(D75,2))="○")*1)-I75-IF(G75="却下",0,1),"日付を確認"))</f>
        <v/>
      </c>
      <c r="K75" s="27">
        <f>IF(D75="","",IFERROR(IF(OR(INDEX(BIZ_DAYS,WEEKDAY(D75,2))="×",COUNTIF(HOLIDAYS,D75)&gt;0),"休業日",IF(J75&lt;MIN_ALL,"要確認","OK")),"日付を確認"))</f>
        <v/>
      </c>
      <c r="L75" s="29">
        <f>IF(AND(G75="承認",C75&lt;&gt;"",D75&lt;&gt;""),C75&amp;"|"&amp;TEXT(D75,"yyyymmdd"),"")</f>
        <v/>
      </c>
      <c r="M75" s="29">
        <f>IF(AND(G75="申請中",C75&lt;&gt;"",D75&lt;&gt;""),C75&amp;"|"&amp;TEXT(D75,"yyyymmdd"),"")</f>
        <v/>
      </c>
    </row>
    <row r="76">
      <c r="B76" s="32" t="n"/>
      <c r="C76" s="33" t="n"/>
      <c r="D76" s="32" t="n"/>
      <c r="E76" s="34" t="n"/>
      <c r="F76" s="33" t="n"/>
      <c r="G76" s="34" t="n"/>
      <c r="H76" s="33" t="n"/>
      <c r="I76" s="22">
        <f>IF(D76="","",COUNTIFS(LOG_DATE,D76,LOG_STATE,"承認")+COUNTIFS(LOG_DATE,D76,LOG_STATE,"申請中")-IF(G76="却下",0,1))</f>
        <v/>
      </c>
      <c r="J76" s="22">
        <f>IF(D76="","",IFERROR(SUMPRODUCT((INDEX(STAFF_DAYS,0,WEEKDAY(D76,2))="○")*1)-I76-IF(G76="却下",0,1),"日付を確認"))</f>
        <v/>
      </c>
      <c r="K76" s="27">
        <f>IF(D76="","",IFERROR(IF(OR(INDEX(BIZ_DAYS,WEEKDAY(D76,2))="×",COUNTIF(HOLIDAYS,D76)&gt;0),"休業日",IF(J76&lt;MIN_ALL,"要確認","OK")),"日付を確認"))</f>
        <v/>
      </c>
      <c r="L76" s="29">
        <f>IF(AND(G76="承認",C76&lt;&gt;"",D76&lt;&gt;""),C76&amp;"|"&amp;TEXT(D76,"yyyymmdd"),"")</f>
        <v/>
      </c>
      <c r="M76" s="29">
        <f>IF(AND(G76="申請中",C76&lt;&gt;"",D76&lt;&gt;""),C76&amp;"|"&amp;TEXT(D76,"yyyymmdd"),"")</f>
        <v/>
      </c>
    </row>
    <row r="77">
      <c r="B77" s="32" t="n"/>
      <c r="C77" s="33" t="n"/>
      <c r="D77" s="32" t="n"/>
      <c r="E77" s="34" t="n"/>
      <c r="F77" s="33" t="n"/>
      <c r="G77" s="34" t="n"/>
      <c r="H77" s="33" t="n"/>
      <c r="I77" s="22">
        <f>IF(D77="","",COUNTIFS(LOG_DATE,D77,LOG_STATE,"承認")+COUNTIFS(LOG_DATE,D77,LOG_STATE,"申請中")-IF(G77="却下",0,1))</f>
        <v/>
      </c>
      <c r="J77" s="22">
        <f>IF(D77="","",IFERROR(SUMPRODUCT((INDEX(STAFF_DAYS,0,WEEKDAY(D77,2))="○")*1)-I77-IF(G77="却下",0,1),"日付を確認"))</f>
        <v/>
      </c>
      <c r="K77" s="27">
        <f>IF(D77="","",IFERROR(IF(OR(INDEX(BIZ_DAYS,WEEKDAY(D77,2))="×",COUNTIF(HOLIDAYS,D77)&gt;0),"休業日",IF(J77&lt;MIN_ALL,"要確認","OK")),"日付を確認"))</f>
        <v/>
      </c>
      <c r="L77" s="29">
        <f>IF(AND(G77="承認",C77&lt;&gt;"",D77&lt;&gt;""),C77&amp;"|"&amp;TEXT(D77,"yyyymmdd"),"")</f>
        <v/>
      </c>
      <c r="M77" s="29">
        <f>IF(AND(G77="申請中",C77&lt;&gt;"",D77&lt;&gt;""),C77&amp;"|"&amp;TEXT(D77,"yyyymmdd"),"")</f>
        <v/>
      </c>
    </row>
    <row r="78">
      <c r="B78" s="32" t="n"/>
      <c r="C78" s="33" t="n"/>
      <c r="D78" s="32" t="n"/>
      <c r="E78" s="34" t="n"/>
      <c r="F78" s="33" t="n"/>
      <c r="G78" s="34" t="n"/>
      <c r="H78" s="33" t="n"/>
      <c r="I78" s="22">
        <f>IF(D78="","",COUNTIFS(LOG_DATE,D78,LOG_STATE,"承認")+COUNTIFS(LOG_DATE,D78,LOG_STATE,"申請中")-IF(G78="却下",0,1))</f>
        <v/>
      </c>
      <c r="J78" s="22">
        <f>IF(D78="","",IFERROR(SUMPRODUCT((INDEX(STAFF_DAYS,0,WEEKDAY(D78,2))="○")*1)-I78-IF(G78="却下",0,1),"日付を確認"))</f>
        <v/>
      </c>
      <c r="K78" s="27">
        <f>IF(D78="","",IFERROR(IF(OR(INDEX(BIZ_DAYS,WEEKDAY(D78,2))="×",COUNTIF(HOLIDAYS,D78)&gt;0),"休業日",IF(J78&lt;MIN_ALL,"要確認","OK")),"日付を確認"))</f>
        <v/>
      </c>
      <c r="L78" s="29">
        <f>IF(AND(G78="承認",C78&lt;&gt;"",D78&lt;&gt;""),C78&amp;"|"&amp;TEXT(D78,"yyyymmdd"),"")</f>
        <v/>
      </c>
      <c r="M78" s="29">
        <f>IF(AND(G78="申請中",C78&lt;&gt;"",D78&lt;&gt;""),C78&amp;"|"&amp;TEXT(D78,"yyyymmdd"),"")</f>
        <v/>
      </c>
    </row>
    <row r="79">
      <c r="B79" s="32" t="n"/>
      <c r="C79" s="33" t="n"/>
      <c r="D79" s="32" t="n"/>
      <c r="E79" s="34" t="n"/>
      <c r="F79" s="33" t="n"/>
      <c r="G79" s="34" t="n"/>
      <c r="H79" s="33" t="n"/>
      <c r="I79" s="22">
        <f>IF(D79="","",COUNTIFS(LOG_DATE,D79,LOG_STATE,"承認")+COUNTIFS(LOG_DATE,D79,LOG_STATE,"申請中")-IF(G79="却下",0,1))</f>
        <v/>
      </c>
      <c r="J79" s="22">
        <f>IF(D79="","",IFERROR(SUMPRODUCT((INDEX(STAFF_DAYS,0,WEEKDAY(D79,2))="○")*1)-I79-IF(G79="却下",0,1),"日付を確認"))</f>
        <v/>
      </c>
      <c r="K79" s="27">
        <f>IF(D79="","",IFERROR(IF(OR(INDEX(BIZ_DAYS,WEEKDAY(D79,2))="×",COUNTIF(HOLIDAYS,D79)&gt;0),"休業日",IF(J79&lt;MIN_ALL,"要確認","OK")),"日付を確認"))</f>
        <v/>
      </c>
      <c r="L79" s="29">
        <f>IF(AND(G79="承認",C79&lt;&gt;"",D79&lt;&gt;""),C79&amp;"|"&amp;TEXT(D79,"yyyymmdd"),"")</f>
        <v/>
      </c>
      <c r="M79" s="29">
        <f>IF(AND(G79="申請中",C79&lt;&gt;"",D79&lt;&gt;""),C79&amp;"|"&amp;TEXT(D79,"yyyymmdd"),"")</f>
        <v/>
      </c>
    </row>
    <row r="80">
      <c r="B80" s="32" t="n"/>
      <c r="C80" s="33" t="n"/>
      <c r="D80" s="32" t="n"/>
      <c r="E80" s="34" t="n"/>
      <c r="F80" s="33" t="n"/>
      <c r="G80" s="34" t="n"/>
      <c r="H80" s="33" t="n"/>
      <c r="I80" s="22">
        <f>IF(D80="","",COUNTIFS(LOG_DATE,D80,LOG_STATE,"承認")+COUNTIFS(LOG_DATE,D80,LOG_STATE,"申請中")-IF(G80="却下",0,1))</f>
        <v/>
      </c>
      <c r="J80" s="22">
        <f>IF(D80="","",IFERROR(SUMPRODUCT((INDEX(STAFF_DAYS,0,WEEKDAY(D80,2))="○")*1)-I80-IF(G80="却下",0,1),"日付を確認"))</f>
        <v/>
      </c>
      <c r="K80" s="27">
        <f>IF(D80="","",IFERROR(IF(OR(INDEX(BIZ_DAYS,WEEKDAY(D80,2))="×",COUNTIF(HOLIDAYS,D80)&gt;0),"休業日",IF(J80&lt;MIN_ALL,"要確認","OK")),"日付を確認"))</f>
        <v/>
      </c>
      <c r="L80" s="29">
        <f>IF(AND(G80="承認",C80&lt;&gt;"",D80&lt;&gt;""),C80&amp;"|"&amp;TEXT(D80,"yyyymmdd"),"")</f>
        <v/>
      </c>
      <c r="M80" s="29">
        <f>IF(AND(G80="申請中",C80&lt;&gt;"",D80&lt;&gt;""),C80&amp;"|"&amp;TEXT(D80,"yyyymmdd"),"")</f>
        <v/>
      </c>
    </row>
    <row r="81">
      <c r="B81" s="32" t="n"/>
      <c r="C81" s="33" t="n"/>
      <c r="D81" s="32" t="n"/>
      <c r="E81" s="34" t="n"/>
      <c r="F81" s="33" t="n"/>
      <c r="G81" s="34" t="n"/>
      <c r="H81" s="33" t="n"/>
      <c r="I81" s="22">
        <f>IF(D81="","",COUNTIFS(LOG_DATE,D81,LOG_STATE,"承認")+COUNTIFS(LOG_DATE,D81,LOG_STATE,"申請中")-IF(G81="却下",0,1))</f>
        <v/>
      </c>
      <c r="J81" s="22">
        <f>IF(D81="","",IFERROR(SUMPRODUCT((INDEX(STAFF_DAYS,0,WEEKDAY(D81,2))="○")*1)-I81-IF(G81="却下",0,1),"日付を確認"))</f>
        <v/>
      </c>
      <c r="K81" s="27">
        <f>IF(D81="","",IFERROR(IF(OR(INDEX(BIZ_DAYS,WEEKDAY(D81,2))="×",COUNTIF(HOLIDAYS,D81)&gt;0),"休業日",IF(J81&lt;MIN_ALL,"要確認","OK")),"日付を確認"))</f>
        <v/>
      </c>
      <c r="L81" s="29">
        <f>IF(AND(G81="承認",C81&lt;&gt;"",D81&lt;&gt;""),C81&amp;"|"&amp;TEXT(D81,"yyyymmdd"),"")</f>
        <v/>
      </c>
      <c r="M81" s="29">
        <f>IF(AND(G81="申請中",C81&lt;&gt;"",D81&lt;&gt;""),C81&amp;"|"&amp;TEXT(D81,"yyyymmdd"),"")</f>
        <v/>
      </c>
    </row>
    <row r="82">
      <c r="B82" s="32" t="n"/>
      <c r="C82" s="33" t="n"/>
      <c r="D82" s="32" t="n"/>
      <c r="E82" s="34" t="n"/>
      <c r="F82" s="33" t="n"/>
      <c r="G82" s="34" t="n"/>
      <c r="H82" s="33" t="n"/>
      <c r="I82" s="22">
        <f>IF(D82="","",COUNTIFS(LOG_DATE,D82,LOG_STATE,"承認")+COUNTIFS(LOG_DATE,D82,LOG_STATE,"申請中")-IF(G82="却下",0,1))</f>
        <v/>
      </c>
      <c r="J82" s="22">
        <f>IF(D82="","",IFERROR(SUMPRODUCT((INDEX(STAFF_DAYS,0,WEEKDAY(D82,2))="○")*1)-I82-IF(G82="却下",0,1),"日付を確認"))</f>
        <v/>
      </c>
      <c r="K82" s="27">
        <f>IF(D82="","",IFERROR(IF(OR(INDEX(BIZ_DAYS,WEEKDAY(D82,2))="×",COUNTIF(HOLIDAYS,D82)&gt;0),"休業日",IF(J82&lt;MIN_ALL,"要確認","OK")),"日付を確認"))</f>
        <v/>
      </c>
      <c r="L82" s="29">
        <f>IF(AND(G82="承認",C82&lt;&gt;"",D82&lt;&gt;""),C82&amp;"|"&amp;TEXT(D82,"yyyymmdd"),"")</f>
        <v/>
      </c>
      <c r="M82" s="29">
        <f>IF(AND(G82="申請中",C82&lt;&gt;"",D82&lt;&gt;""),C82&amp;"|"&amp;TEXT(D82,"yyyymmdd"),"")</f>
        <v/>
      </c>
    </row>
    <row r="83">
      <c r="B83" s="32" t="n"/>
      <c r="C83" s="33" t="n"/>
      <c r="D83" s="32" t="n"/>
      <c r="E83" s="34" t="n"/>
      <c r="F83" s="33" t="n"/>
      <c r="G83" s="34" t="n"/>
      <c r="H83" s="33" t="n"/>
      <c r="I83" s="22">
        <f>IF(D83="","",COUNTIFS(LOG_DATE,D83,LOG_STATE,"承認")+COUNTIFS(LOG_DATE,D83,LOG_STATE,"申請中")-IF(G83="却下",0,1))</f>
        <v/>
      </c>
      <c r="J83" s="22">
        <f>IF(D83="","",IFERROR(SUMPRODUCT((INDEX(STAFF_DAYS,0,WEEKDAY(D83,2))="○")*1)-I83-IF(G83="却下",0,1),"日付を確認"))</f>
        <v/>
      </c>
      <c r="K83" s="27">
        <f>IF(D83="","",IFERROR(IF(OR(INDEX(BIZ_DAYS,WEEKDAY(D83,2))="×",COUNTIF(HOLIDAYS,D83)&gt;0),"休業日",IF(J83&lt;MIN_ALL,"要確認","OK")),"日付を確認"))</f>
        <v/>
      </c>
      <c r="L83" s="29">
        <f>IF(AND(G83="承認",C83&lt;&gt;"",D83&lt;&gt;""),C83&amp;"|"&amp;TEXT(D83,"yyyymmdd"),"")</f>
        <v/>
      </c>
      <c r="M83" s="29">
        <f>IF(AND(G83="申請中",C83&lt;&gt;"",D83&lt;&gt;""),C83&amp;"|"&amp;TEXT(D83,"yyyymmdd"),"")</f>
        <v/>
      </c>
    </row>
    <row r="84">
      <c r="B84" s="32" t="n"/>
      <c r="C84" s="33" t="n"/>
      <c r="D84" s="32" t="n"/>
      <c r="E84" s="34" t="n"/>
      <c r="F84" s="33" t="n"/>
      <c r="G84" s="34" t="n"/>
      <c r="H84" s="33" t="n"/>
      <c r="I84" s="22">
        <f>IF(D84="","",COUNTIFS(LOG_DATE,D84,LOG_STATE,"承認")+COUNTIFS(LOG_DATE,D84,LOG_STATE,"申請中")-IF(G84="却下",0,1))</f>
        <v/>
      </c>
      <c r="J84" s="22">
        <f>IF(D84="","",IFERROR(SUMPRODUCT((INDEX(STAFF_DAYS,0,WEEKDAY(D84,2))="○")*1)-I84-IF(G84="却下",0,1),"日付を確認"))</f>
        <v/>
      </c>
      <c r="K84" s="27">
        <f>IF(D84="","",IFERROR(IF(OR(INDEX(BIZ_DAYS,WEEKDAY(D84,2))="×",COUNTIF(HOLIDAYS,D84)&gt;0),"休業日",IF(J84&lt;MIN_ALL,"要確認","OK")),"日付を確認"))</f>
        <v/>
      </c>
      <c r="L84" s="29">
        <f>IF(AND(G84="承認",C84&lt;&gt;"",D84&lt;&gt;""),C84&amp;"|"&amp;TEXT(D84,"yyyymmdd"),"")</f>
        <v/>
      </c>
      <c r="M84" s="29">
        <f>IF(AND(G84="申請中",C84&lt;&gt;"",D84&lt;&gt;""),C84&amp;"|"&amp;TEXT(D84,"yyyymmdd"),"")</f>
        <v/>
      </c>
    </row>
    <row r="85">
      <c r="B85" s="32" t="n"/>
      <c r="C85" s="33" t="n"/>
      <c r="D85" s="32" t="n"/>
      <c r="E85" s="34" t="n"/>
      <c r="F85" s="33" t="n"/>
      <c r="G85" s="34" t="n"/>
      <c r="H85" s="33" t="n"/>
      <c r="I85" s="22">
        <f>IF(D85="","",COUNTIFS(LOG_DATE,D85,LOG_STATE,"承認")+COUNTIFS(LOG_DATE,D85,LOG_STATE,"申請中")-IF(G85="却下",0,1))</f>
        <v/>
      </c>
      <c r="J85" s="22">
        <f>IF(D85="","",IFERROR(SUMPRODUCT((INDEX(STAFF_DAYS,0,WEEKDAY(D85,2))="○")*1)-I85-IF(G85="却下",0,1),"日付を確認"))</f>
        <v/>
      </c>
      <c r="K85" s="27">
        <f>IF(D85="","",IFERROR(IF(OR(INDEX(BIZ_DAYS,WEEKDAY(D85,2))="×",COUNTIF(HOLIDAYS,D85)&gt;0),"休業日",IF(J85&lt;MIN_ALL,"要確認","OK")),"日付を確認"))</f>
        <v/>
      </c>
      <c r="L85" s="29">
        <f>IF(AND(G85="承認",C85&lt;&gt;"",D85&lt;&gt;""),C85&amp;"|"&amp;TEXT(D85,"yyyymmdd"),"")</f>
        <v/>
      </c>
      <c r="M85" s="29">
        <f>IF(AND(G85="申請中",C85&lt;&gt;"",D85&lt;&gt;""),C85&amp;"|"&amp;TEXT(D85,"yyyymmdd"),"")</f>
        <v/>
      </c>
    </row>
    <row r="86">
      <c r="B86" s="32" t="n"/>
      <c r="C86" s="33" t="n"/>
      <c r="D86" s="32" t="n"/>
      <c r="E86" s="34" t="n"/>
      <c r="F86" s="33" t="n"/>
      <c r="G86" s="34" t="n"/>
      <c r="H86" s="33" t="n"/>
      <c r="I86" s="22">
        <f>IF(D86="","",COUNTIFS(LOG_DATE,D86,LOG_STATE,"承認")+COUNTIFS(LOG_DATE,D86,LOG_STATE,"申請中")-IF(G86="却下",0,1))</f>
        <v/>
      </c>
      <c r="J86" s="22">
        <f>IF(D86="","",IFERROR(SUMPRODUCT((INDEX(STAFF_DAYS,0,WEEKDAY(D86,2))="○")*1)-I86-IF(G86="却下",0,1),"日付を確認"))</f>
        <v/>
      </c>
      <c r="K86" s="27">
        <f>IF(D86="","",IFERROR(IF(OR(INDEX(BIZ_DAYS,WEEKDAY(D86,2))="×",COUNTIF(HOLIDAYS,D86)&gt;0),"休業日",IF(J86&lt;MIN_ALL,"要確認","OK")),"日付を確認"))</f>
        <v/>
      </c>
      <c r="L86" s="29">
        <f>IF(AND(G86="承認",C86&lt;&gt;"",D86&lt;&gt;""),C86&amp;"|"&amp;TEXT(D86,"yyyymmdd"),"")</f>
        <v/>
      </c>
      <c r="M86" s="29">
        <f>IF(AND(G86="申請中",C86&lt;&gt;"",D86&lt;&gt;""),C86&amp;"|"&amp;TEXT(D86,"yyyymmdd"),"")</f>
        <v/>
      </c>
    </row>
    <row r="87">
      <c r="B87" s="32" t="n"/>
      <c r="C87" s="33" t="n"/>
      <c r="D87" s="32" t="n"/>
      <c r="E87" s="34" t="n"/>
      <c r="F87" s="33" t="n"/>
      <c r="G87" s="34" t="n"/>
      <c r="H87" s="33" t="n"/>
      <c r="I87" s="22">
        <f>IF(D87="","",COUNTIFS(LOG_DATE,D87,LOG_STATE,"承認")+COUNTIFS(LOG_DATE,D87,LOG_STATE,"申請中")-IF(G87="却下",0,1))</f>
        <v/>
      </c>
      <c r="J87" s="22">
        <f>IF(D87="","",IFERROR(SUMPRODUCT((INDEX(STAFF_DAYS,0,WEEKDAY(D87,2))="○")*1)-I87-IF(G87="却下",0,1),"日付を確認"))</f>
        <v/>
      </c>
      <c r="K87" s="27">
        <f>IF(D87="","",IFERROR(IF(OR(INDEX(BIZ_DAYS,WEEKDAY(D87,2))="×",COUNTIF(HOLIDAYS,D87)&gt;0),"休業日",IF(J87&lt;MIN_ALL,"要確認","OK")),"日付を確認"))</f>
        <v/>
      </c>
      <c r="L87" s="29">
        <f>IF(AND(G87="承認",C87&lt;&gt;"",D87&lt;&gt;""),C87&amp;"|"&amp;TEXT(D87,"yyyymmdd"),"")</f>
        <v/>
      </c>
      <c r="M87" s="29">
        <f>IF(AND(G87="申請中",C87&lt;&gt;"",D87&lt;&gt;""),C87&amp;"|"&amp;TEXT(D87,"yyyymmdd"),"")</f>
        <v/>
      </c>
    </row>
    <row r="88">
      <c r="B88" s="32" t="n"/>
      <c r="C88" s="33" t="n"/>
      <c r="D88" s="32" t="n"/>
      <c r="E88" s="34" t="n"/>
      <c r="F88" s="33" t="n"/>
      <c r="G88" s="34" t="n"/>
      <c r="H88" s="33" t="n"/>
      <c r="I88" s="22">
        <f>IF(D88="","",COUNTIFS(LOG_DATE,D88,LOG_STATE,"承認")+COUNTIFS(LOG_DATE,D88,LOG_STATE,"申請中")-IF(G88="却下",0,1))</f>
        <v/>
      </c>
      <c r="J88" s="22">
        <f>IF(D88="","",IFERROR(SUMPRODUCT((INDEX(STAFF_DAYS,0,WEEKDAY(D88,2))="○")*1)-I88-IF(G88="却下",0,1),"日付を確認"))</f>
        <v/>
      </c>
      <c r="K88" s="27">
        <f>IF(D88="","",IFERROR(IF(OR(INDEX(BIZ_DAYS,WEEKDAY(D88,2))="×",COUNTIF(HOLIDAYS,D88)&gt;0),"休業日",IF(J88&lt;MIN_ALL,"要確認","OK")),"日付を確認"))</f>
        <v/>
      </c>
      <c r="L88" s="29">
        <f>IF(AND(G88="承認",C88&lt;&gt;"",D88&lt;&gt;""),C88&amp;"|"&amp;TEXT(D88,"yyyymmdd"),"")</f>
        <v/>
      </c>
      <c r="M88" s="29">
        <f>IF(AND(G88="申請中",C88&lt;&gt;"",D88&lt;&gt;""),C88&amp;"|"&amp;TEXT(D88,"yyyymmdd"),"")</f>
        <v/>
      </c>
    </row>
    <row r="89">
      <c r="B89" s="32" t="n"/>
      <c r="C89" s="33" t="n"/>
      <c r="D89" s="32" t="n"/>
      <c r="E89" s="34" t="n"/>
      <c r="F89" s="33" t="n"/>
      <c r="G89" s="34" t="n"/>
      <c r="H89" s="33" t="n"/>
      <c r="I89" s="22">
        <f>IF(D89="","",COUNTIFS(LOG_DATE,D89,LOG_STATE,"承認")+COUNTIFS(LOG_DATE,D89,LOG_STATE,"申請中")-IF(G89="却下",0,1))</f>
        <v/>
      </c>
      <c r="J89" s="22">
        <f>IF(D89="","",IFERROR(SUMPRODUCT((INDEX(STAFF_DAYS,0,WEEKDAY(D89,2))="○")*1)-I89-IF(G89="却下",0,1),"日付を確認"))</f>
        <v/>
      </c>
      <c r="K89" s="27">
        <f>IF(D89="","",IFERROR(IF(OR(INDEX(BIZ_DAYS,WEEKDAY(D89,2))="×",COUNTIF(HOLIDAYS,D89)&gt;0),"休業日",IF(J89&lt;MIN_ALL,"要確認","OK")),"日付を確認"))</f>
        <v/>
      </c>
      <c r="L89" s="29">
        <f>IF(AND(G89="承認",C89&lt;&gt;"",D89&lt;&gt;""),C89&amp;"|"&amp;TEXT(D89,"yyyymmdd"),"")</f>
        <v/>
      </c>
      <c r="M89" s="29">
        <f>IF(AND(G89="申請中",C89&lt;&gt;"",D89&lt;&gt;""),C89&amp;"|"&amp;TEXT(D89,"yyyymmdd"),"")</f>
        <v/>
      </c>
    </row>
    <row r="90">
      <c r="B90" s="32" t="n"/>
      <c r="C90" s="33" t="n"/>
      <c r="D90" s="32" t="n"/>
      <c r="E90" s="34" t="n"/>
      <c r="F90" s="33" t="n"/>
      <c r="G90" s="34" t="n"/>
      <c r="H90" s="33" t="n"/>
      <c r="I90" s="22">
        <f>IF(D90="","",COUNTIFS(LOG_DATE,D90,LOG_STATE,"承認")+COUNTIFS(LOG_DATE,D90,LOG_STATE,"申請中")-IF(G90="却下",0,1))</f>
        <v/>
      </c>
      <c r="J90" s="22">
        <f>IF(D90="","",IFERROR(SUMPRODUCT((INDEX(STAFF_DAYS,0,WEEKDAY(D90,2))="○")*1)-I90-IF(G90="却下",0,1),"日付を確認"))</f>
        <v/>
      </c>
      <c r="K90" s="27">
        <f>IF(D90="","",IFERROR(IF(OR(INDEX(BIZ_DAYS,WEEKDAY(D90,2))="×",COUNTIF(HOLIDAYS,D90)&gt;0),"休業日",IF(J90&lt;MIN_ALL,"要確認","OK")),"日付を確認"))</f>
        <v/>
      </c>
      <c r="L90" s="29">
        <f>IF(AND(G90="承認",C90&lt;&gt;"",D90&lt;&gt;""),C90&amp;"|"&amp;TEXT(D90,"yyyymmdd"),"")</f>
        <v/>
      </c>
      <c r="M90" s="29">
        <f>IF(AND(G90="申請中",C90&lt;&gt;"",D90&lt;&gt;""),C90&amp;"|"&amp;TEXT(D90,"yyyymmdd"),"")</f>
        <v/>
      </c>
    </row>
    <row r="91">
      <c r="B91" s="32" t="n"/>
      <c r="C91" s="33" t="n"/>
      <c r="D91" s="32" t="n"/>
      <c r="E91" s="34" t="n"/>
      <c r="F91" s="33" t="n"/>
      <c r="G91" s="34" t="n"/>
      <c r="H91" s="33" t="n"/>
      <c r="I91" s="22">
        <f>IF(D91="","",COUNTIFS(LOG_DATE,D91,LOG_STATE,"承認")+COUNTIFS(LOG_DATE,D91,LOG_STATE,"申請中")-IF(G91="却下",0,1))</f>
        <v/>
      </c>
      <c r="J91" s="22">
        <f>IF(D91="","",IFERROR(SUMPRODUCT((INDEX(STAFF_DAYS,0,WEEKDAY(D91,2))="○")*1)-I91-IF(G91="却下",0,1),"日付を確認"))</f>
        <v/>
      </c>
      <c r="K91" s="27">
        <f>IF(D91="","",IFERROR(IF(OR(INDEX(BIZ_DAYS,WEEKDAY(D91,2))="×",COUNTIF(HOLIDAYS,D91)&gt;0),"休業日",IF(J91&lt;MIN_ALL,"要確認","OK")),"日付を確認"))</f>
        <v/>
      </c>
      <c r="L91" s="29">
        <f>IF(AND(G91="承認",C91&lt;&gt;"",D91&lt;&gt;""),C91&amp;"|"&amp;TEXT(D91,"yyyymmdd"),"")</f>
        <v/>
      </c>
      <c r="M91" s="29">
        <f>IF(AND(G91="申請中",C91&lt;&gt;"",D91&lt;&gt;""),C91&amp;"|"&amp;TEXT(D91,"yyyymmdd"),"")</f>
        <v/>
      </c>
    </row>
    <row r="92">
      <c r="B92" s="32" t="n"/>
      <c r="C92" s="33" t="n"/>
      <c r="D92" s="32" t="n"/>
      <c r="E92" s="34" t="n"/>
      <c r="F92" s="33" t="n"/>
      <c r="G92" s="34" t="n"/>
      <c r="H92" s="33" t="n"/>
      <c r="I92" s="22">
        <f>IF(D92="","",COUNTIFS(LOG_DATE,D92,LOG_STATE,"承認")+COUNTIFS(LOG_DATE,D92,LOG_STATE,"申請中")-IF(G92="却下",0,1))</f>
        <v/>
      </c>
      <c r="J92" s="22">
        <f>IF(D92="","",IFERROR(SUMPRODUCT((INDEX(STAFF_DAYS,0,WEEKDAY(D92,2))="○")*1)-I92-IF(G92="却下",0,1),"日付を確認"))</f>
        <v/>
      </c>
      <c r="K92" s="27">
        <f>IF(D92="","",IFERROR(IF(OR(INDEX(BIZ_DAYS,WEEKDAY(D92,2))="×",COUNTIF(HOLIDAYS,D92)&gt;0),"休業日",IF(J92&lt;MIN_ALL,"要確認","OK")),"日付を確認"))</f>
        <v/>
      </c>
      <c r="L92" s="29">
        <f>IF(AND(G92="承認",C92&lt;&gt;"",D92&lt;&gt;""),C92&amp;"|"&amp;TEXT(D92,"yyyymmdd"),"")</f>
        <v/>
      </c>
      <c r="M92" s="29">
        <f>IF(AND(G92="申請中",C92&lt;&gt;"",D92&lt;&gt;""),C92&amp;"|"&amp;TEXT(D92,"yyyymmdd"),"")</f>
        <v/>
      </c>
    </row>
    <row r="93">
      <c r="B93" s="32" t="n"/>
      <c r="C93" s="33" t="n"/>
      <c r="D93" s="32" t="n"/>
      <c r="E93" s="34" t="n"/>
      <c r="F93" s="33" t="n"/>
      <c r="G93" s="34" t="n"/>
      <c r="H93" s="33" t="n"/>
      <c r="I93" s="22">
        <f>IF(D93="","",COUNTIFS(LOG_DATE,D93,LOG_STATE,"承認")+COUNTIFS(LOG_DATE,D93,LOG_STATE,"申請中")-IF(G93="却下",0,1))</f>
        <v/>
      </c>
      <c r="J93" s="22">
        <f>IF(D93="","",IFERROR(SUMPRODUCT((INDEX(STAFF_DAYS,0,WEEKDAY(D93,2))="○")*1)-I93-IF(G93="却下",0,1),"日付を確認"))</f>
        <v/>
      </c>
      <c r="K93" s="27">
        <f>IF(D93="","",IFERROR(IF(OR(INDEX(BIZ_DAYS,WEEKDAY(D93,2))="×",COUNTIF(HOLIDAYS,D93)&gt;0),"休業日",IF(J93&lt;MIN_ALL,"要確認","OK")),"日付を確認"))</f>
        <v/>
      </c>
      <c r="L93" s="29">
        <f>IF(AND(G93="承認",C93&lt;&gt;"",D93&lt;&gt;""),C93&amp;"|"&amp;TEXT(D93,"yyyymmdd"),"")</f>
        <v/>
      </c>
      <c r="M93" s="29">
        <f>IF(AND(G93="申請中",C93&lt;&gt;"",D93&lt;&gt;""),C93&amp;"|"&amp;TEXT(D93,"yyyymmdd"),"")</f>
        <v/>
      </c>
    </row>
    <row r="94">
      <c r="B94" s="32" t="n"/>
      <c r="C94" s="33" t="n"/>
      <c r="D94" s="32" t="n"/>
      <c r="E94" s="34" t="n"/>
      <c r="F94" s="33" t="n"/>
      <c r="G94" s="34" t="n"/>
      <c r="H94" s="33" t="n"/>
      <c r="I94" s="22">
        <f>IF(D94="","",COUNTIFS(LOG_DATE,D94,LOG_STATE,"承認")+COUNTIFS(LOG_DATE,D94,LOG_STATE,"申請中")-IF(G94="却下",0,1))</f>
        <v/>
      </c>
      <c r="J94" s="22">
        <f>IF(D94="","",IFERROR(SUMPRODUCT((INDEX(STAFF_DAYS,0,WEEKDAY(D94,2))="○")*1)-I94-IF(G94="却下",0,1),"日付を確認"))</f>
        <v/>
      </c>
      <c r="K94" s="27">
        <f>IF(D94="","",IFERROR(IF(OR(INDEX(BIZ_DAYS,WEEKDAY(D94,2))="×",COUNTIF(HOLIDAYS,D94)&gt;0),"休業日",IF(J94&lt;MIN_ALL,"要確認","OK")),"日付を確認"))</f>
        <v/>
      </c>
      <c r="L94" s="29">
        <f>IF(AND(G94="承認",C94&lt;&gt;"",D94&lt;&gt;""),C94&amp;"|"&amp;TEXT(D94,"yyyymmdd"),"")</f>
        <v/>
      </c>
      <c r="M94" s="29">
        <f>IF(AND(G94="申請中",C94&lt;&gt;"",D94&lt;&gt;""),C94&amp;"|"&amp;TEXT(D94,"yyyymmdd"),"")</f>
        <v/>
      </c>
    </row>
    <row r="95">
      <c r="B95" s="32" t="n"/>
      <c r="C95" s="33" t="n"/>
      <c r="D95" s="32" t="n"/>
      <c r="E95" s="34" t="n"/>
      <c r="F95" s="33" t="n"/>
      <c r="G95" s="34" t="n"/>
      <c r="H95" s="33" t="n"/>
      <c r="I95" s="22">
        <f>IF(D95="","",COUNTIFS(LOG_DATE,D95,LOG_STATE,"承認")+COUNTIFS(LOG_DATE,D95,LOG_STATE,"申請中")-IF(G95="却下",0,1))</f>
        <v/>
      </c>
      <c r="J95" s="22">
        <f>IF(D95="","",IFERROR(SUMPRODUCT((INDEX(STAFF_DAYS,0,WEEKDAY(D95,2))="○")*1)-I95-IF(G95="却下",0,1),"日付を確認"))</f>
        <v/>
      </c>
      <c r="K95" s="27">
        <f>IF(D95="","",IFERROR(IF(OR(INDEX(BIZ_DAYS,WEEKDAY(D95,2))="×",COUNTIF(HOLIDAYS,D95)&gt;0),"休業日",IF(J95&lt;MIN_ALL,"要確認","OK")),"日付を確認"))</f>
        <v/>
      </c>
      <c r="L95" s="29">
        <f>IF(AND(G95="承認",C95&lt;&gt;"",D95&lt;&gt;""),C95&amp;"|"&amp;TEXT(D95,"yyyymmdd"),"")</f>
        <v/>
      </c>
      <c r="M95" s="29">
        <f>IF(AND(G95="申請中",C95&lt;&gt;"",D95&lt;&gt;""),C95&amp;"|"&amp;TEXT(D95,"yyyymmdd"),"")</f>
        <v/>
      </c>
    </row>
    <row r="96">
      <c r="B96" s="32" t="n"/>
      <c r="C96" s="33" t="n"/>
      <c r="D96" s="32" t="n"/>
      <c r="E96" s="34" t="n"/>
      <c r="F96" s="33" t="n"/>
      <c r="G96" s="34" t="n"/>
      <c r="H96" s="33" t="n"/>
      <c r="I96" s="22">
        <f>IF(D96="","",COUNTIFS(LOG_DATE,D96,LOG_STATE,"承認")+COUNTIFS(LOG_DATE,D96,LOG_STATE,"申請中")-IF(G96="却下",0,1))</f>
        <v/>
      </c>
      <c r="J96" s="22">
        <f>IF(D96="","",IFERROR(SUMPRODUCT((INDEX(STAFF_DAYS,0,WEEKDAY(D96,2))="○")*1)-I96-IF(G96="却下",0,1),"日付を確認"))</f>
        <v/>
      </c>
      <c r="K96" s="27">
        <f>IF(D96="","",IFERROR(IF(OR(INDEX(BIZ_DAYS,WEEKDAY(D96,2))="×",COUNTIF(HOLIDAYS,D96)&gt;0),"休業日",IF(J96&lt;MIN_ALL,"要確認","OK")),"日付を確認"))</f>
        <v/>
      </c>
      <c r="L96" s="29">
        <f>IF(AND(G96="承認",C96&lt;&gt;"",D96&lt;&gt;""),C96&amp;"|"&amp;TEXT(D96,"yyyymmdd"),"")</f>
        <v/>
      </c>
      <c r="M96" s="29">
        <f>IF(AND(G96="申請中",C96&lt;&gt;"",D96&lt;&gt;""),C96&amp;"|"&amp;TEXT(D96,"yyyymmdd"),"")</f>
        <v/>
      </c>
    </row>
    <row r="97">
      <c r="B97" s="32" t="n"/>
      <c r="C97" s="33" t="n"/>
      <c r="D97" s="32" t="n"/>
      <c r="E97" s="34" t="n"/>
      <c r="F97" s="33" t="n"/>
      <c r="G97" s="34" t="n"/>
      <c r="H97" s="33" t="n"/>
      <c r="I97" s="22">
        <f>IF(D97="","",COUNTIFS(LOG_DATE,D97,LOG_STATE,"承認")+COUNTIFS(LOG_DATE,D97,LOG_STATE,"申請中")-IF(G97="却下",0,1))</f>
        <v/>
      </c>
      <c r="J97" s="22">
        <f>IF(D97="","",IFERROR(SUMPRODUCT((INDEX(STAFF_DAYS,0,WEEKDAY(D97,2))="○")*1)-I97-IF(G97="却下",0,1),"日付を確認"))</f>
        <v/>
      </c>
      <c r="K97" s="27">
        <f>IF(D97="","",IFERROR(IF(OR(INDEX(BIZ_DAYS,WEEKDAY(D97,2))="×",COUNTIF(HOLIDAYS,D97)&gt;0),"休業日",IF(J97&lt;MIN_ALL,"要確認","OK")),"日付を確認"))</f>
        <v/>
      </c>
      <c r="L97" s="29">
        <f>IF(AND(G97="承認",C97&lt;&gt;"",D97&lt;&gt;""),C97&amp;"|"&amp;TEXT(D97,"yyyymmdd"),"")</f>
        <v/>
      </c>
      <c r="M97" s="29">
        <f>IF(AND(G97="申請中",C97&lt;&gt;"",D97&lt;&gt;""),C97&amp;"|"&amp;TEXT(D97,"yyyymmdd"),"")</f>
        <v/>
      </c>
    </row>
    <row r="98">
      <c r="B98" s="32" t="n"/>
      <c r="C98" s="33" t="n"/>
      <c r="D98" s="32" t="n"/>
      <c r="E98" s="34" t="n"/>
      <c r="F98" s="33" t="n"/>
      <c r="G98" s="34" t="n"/>
      <c r="H98" s="33" t="n"/>
      <c r="I98" s="22">
        <f>IF(D98="","",COUNTIFS(LOG_DATE,D98,LOG_STATE,"承認")+COUNTIFS(LOG_DATE,D98,LOG_STATE,"申請中")-IF(G98="却下",0,1))</f>
        <v/>
      </c>
      <c r="J98" s="22">
        <f>IF(D98="","",IFERROR(SUMPRODUCT((INDEX(STAFF_DAYS,0,WEEKDAY(D98,2))="○")*1)-I98-IF(G98="却下",0,1),"日付を確認"))</f>
        <v/>
      </c>
      <c r="K98" s="27">
        <f>IF(D98="","",IFERROR(IF(OR(INDEX(BIZ_DAYS,WEEKDAY(D98,2))="×",COUNTIF(HOLIDAYS,D98)&gt;0),"休業日",IF(J98&lt;MIN_ALL,"要確認","OK")),"日付を確認"))</f>
        <v/>
      </c>
      <c r="L98" s="29">
        <f>IF(AND(G98="承認",C98&lt;&gt;"",D98&lt;&gt;""),C98&amp;"|"&amp;TEXT(D98,"yyyymmdd"),"")</f>
        <v/>
      </c>
      <c r="M98" s="29">
        <f>IF(AND(G98="申請中",C98&lt;&gt;"",D98&lt;&gt;""),C98&amp;"|"&amp;TEXT(D98,"yyyymmdd"),"")</f>
        <v/>
      </c>
    </row>
    <row r="99">
      <c r="B99" s="32" t="n"/>
      <c r="C99" s="33" t="n"/>
      <c r="D99" s="32" t="n"/>
      <c r="E99" s="34" t="n"/>
      <c r="F99" s="33" t="n"/>
      <c r="G99" s="34" t="n"/>
      <c r="H99" s="33" t="n"/>
      <c r="I99" s="22">
        <f>IF(D99="","",COUNTIFS(LOG_DATE,D99,LOG_STATE,"承認")+COUNTIFS(LOG_DATE,D99,LOG_STATE,"申請中")-IF(G99="却下",0,1))</f>
        <v/>
      </c>
      <c r="J99" s="22">
        <f>IF(D99="","",IFERROR(SUMPRODUCT((INDEX(STAFF_DAYS,0,WEEKDAY(D99,2))="○")*1)-I99-IF(G99="却下",0,1),"日付を確認"))</f>
        <v/>
      </c>
      <c r="K99" s="27">
        <f>IF(D99="","",IFERROR(IF(OR(INDEX(BIZ_DAYS,WEEKDAY(D99,2))="×",COUNTIF(HOLIDAYS,D99)&gt;0),"休業日",IF(J99&lt;MIN_ALL,"要確認","OK")),"日付を確認"))</f>
        <v/>
      </c>
      <c r="L99" s="29">
        <f>IF(AND(G99="承認",C99&lt;&gt;"",D99&lt;&gt;""),C99&amp;"|"&amp;TEXT(D99,"yyyymmdd"),"")</f>
        <v/>
      </c>
      <c r="M99" s="29">
        <f>IF(AND(G99="申請中",C99&lt;&gt;"",D99&lt;&gt;""),C99&amp;"|"&amp;TEXT(D99,"yyyymmdd"),"")</f>
        <v/>
      </c>
    </row>
    <row r="100">
      <c r="B100" s="32" t="n"/>
      <c r="C100" s="33" t="n"/>
      <c r="D100" s="32" t="n"/>
      <c r="E100" s="34" t="n"/>
      <c r="F100" s="33" t="n"/>
      <c r="G100" s="34" t="n"/>
      <c r="H100" s="33" t="n"/>
      <c r="I100" s="22">
        <f>IF(D100="","",COUNTIFS(LOG_DATE,D100,LOG_STATE,"承認")+COUNTIFS(LOG_DATE,D100,LOG_STATE,"申請中")-IF(G100="却下",0,1))</f>
        <v/>
      </c>
      <c r="J100" s="22">
        <f>IF(D100="","",IFERROR(SUMPRODUCT((INDEX(STAFF_DAYS,0,WEEKDAY(D100,2))="○")*1)-I100-IF(G100="却下",0,1),"日付を確認"))</f>
        <v/>
      </c>
      <c r="K100" s="27">
        <f>IF(D100="","",IFERROR(IF(OR(INDEX(BIZ_DAYS,WEEKDAY(D100,2))="×",COUNTIF(HOLIDAYS,D100)&gt;0),"休業日",IF(J100&lt;MIN_ALL,"要確認","OK")),"日付を確認"))</f>
        <v/>
      </c>
      <c r="L100" s="29">
        <f>IF(AND(G100="承認",C100&lt;&gt;"",D100&lt;&gt;""),C100&amp;"|"&amp;TEXT(D100,"yyyymmdd"),"")</f>
        <v/>
      </c>
      <c r="M100" s="29">
        <f>IF(AND(G100="申請中",C100&lt;&gt;"",D100&lt;&gt;""),C100&amp;"|"&amp;TEXT(D100,"yyyymmdd"),"")</f>
        <v/>
      </c>
    </row>
    <row r="101">
      <c r="B101" s="32" t="n"/>
      <c r="C101" s="33" t="n"/>
      <c r="D101" s="32" t="n"/>
      <c r="E101" s="34" t="n"/>
      <c r="F101" s="33" t="n"/>
      <c r="G101" s="34" t="n"/>
      <c r="H101" s="33" t="n"/>
      <c r="I101" s="22">
        <f>IF(D101="","",COUNTIFS(LOG_DATE,D101,LOG_STATE,"承認")+COUNTIFS(LOG_DATE,D101,LOG_STATE,"申請中")-IF(G101="却下",0,1))</f>
        <v/>
      </c>
      <c r="J101" s="22">
        <f>IF(D101="","",IFERROR(SUMPRODUCT((INDEX(STAFF_DAYS,0,WEEKDAY(D101,2))="○")*1)-I101-IF(G101="却下",0,1),"日付を確認"))</f>
        <v/>
      </c>
      <c r="K101" s="27">
        <f>IF(D101="","",IFERROR(IF(OR(INDEX(BIZ_DAYS,WEEKDAY(D101,2))="×",COUNTIF(HOLIDAYS,D101)&gt;0),"休業日",IF(J101&lt;MIN_ALL,"要確認","OK")),"日付を確認"))</f>
        <v/>
      </c>
      <c r="L101" s="29">
        <f>IF(AND(G101="承認",C101&lt;&gt;"",D101&lt;&gt;""),C101&amp;"|"&amp;TEXT(D101,"yyyymmdd"),"")</f>
        <v/>
      </c>
      <c r="M101" s="29">
        <f>IF(AND(G101="申請中",C101&lt;&gt;"",D101&lt;&gt;""),C101&amp;"|"&amp;TEXT(D101,"yyyymmdd"),"")</f>
        <v/>
      </c>
    </row>
    <row r="102">
      <c r="B102" s="32" t="n"/>
      <c r="C102" s="33" t="n"/>
      <c r="D102" s="32" t="n"/>
      <c r="E102" s="34" t="n"/>
      <c r="F102" s="33" t="n"/>
      <c r="G102" s="34" t="n"/>
      <c r="H102" s="33" t="n"/>
      <c r="I102" s="22">
        <f>IF(D102="","",COUNTIFS(LOG_DATE,D102,LOG_STATE,"承認")+COUNTIFS(LOG_DATE,D102,LOG_STATE,"申請中")-IF(G102="却下",0,1))</f>
        <v/>
      </c>
      <c r="J102" s="22">
        <f>IF(D102="","",IFERROR(SUMPRODUCT((INDEX(STAFF_DAYS,0,WEEKDAY(D102,2))="○")*1)-I102-IF(G102="却下",0,1),"日付を確認"))</f>
        <v/>
      </c>
      <c r="K102" s="27">
        <f>IF(D102="","",IFERROR(IF(OR(INDEX(BIZ_DAYS,WEEKDAY(D102,2))="×",COUNTIF(HOLIDAYS,D102)&gt;0),"休業日",IF(J102&lt;MIN_ALL,"要確認","OK")),"日付を確認"))</f>
        <v/>
      </c>
      <c r="L102" s="29">
        <f>IF(AND(G102="承認",C102&lt;&gt;"",D102&lt;&gt;""),C102&amp;"|"&amp;TEXT(D102,"yyyymmdd"),"")</f>
        <v/>
      </c>
      <c r="M102" s="29">
        <f>IF(AND(G102="申請中",C102&lt;&gt;"",D102&lt;&gt;""),C102&amp;"|"&amp;TEXT(D102,"yyyymmdd"),"")</f>
        <v/>
      </c>
    </row>
    <row r="103">
      <c r="B103" s="32" t="n"/>
      <c r="C103" s="33" t="n"/>
      <c r="D103" s="32" t="n"/>
      <c r="E103" s="34" t="n"/>
      <c r="F103" s="33" t="n"/>
      <c r="G103" s="34" t="n"/>
      <c r="H103" s="33" t="n"/>
      <c r="I103" s="22">
        <f>IF(D103="","",COUNTIFS(LOG_DATE,D103,LOG_STATE,"承認")+COUNTIFS(LOG_DATE,D103,LOG_STATE,"申請中")-IF(G103="却下",0,1))</f>
        <v/>
      </c>
      <c r="J103" s="22">
        <f>IF(D103="","",IFERROR(SUMPRODUCT((INDEX(STAFF_DAYS,0,WEEKDAY(D103,2))="○")*1)-I103-IF(G103="却下",0,1),"日付を確認"))</f>
        <v/>
      </c>
      <c r="K103" s="27">
        <f>IF(D103="","",IFERROR(IF(OR(INDEX(BIZ_DAYS,WEEKDAY(D103,2))="×",COUNTIF(HOLIDAYS,D103)&gt;0),"休業日",IF(J103&lt;MIN_ALL,"要確認","OK")),"日付を確認"))</f>
        <v/>
      </c>
      <c r="L103" s="29">
        <f>IF(AND(G103="承認",C103&lt;&gt;"",D103&lt;&gt;""),C103&amp;"|"&amp;TEXT(D103,"yyyymmdd"),"")</f>
        <v/>
      </c>
      <c r="M103" s="29">
        <f>IF(AND(G103="申請中",C103&lt;&gt;"",D103&lt;&gt;""),C103&amp;"|"&amp;TEXT(D103,"yyyymmdd"),"")</f>
        <v/>
      </c>
    </row>
    <row r="104">
      <c r="B104" s="32" t="n"/>
      <c r="C104" s="33" t="n"/>
      <c r="D104" s="32" t="n"/>
      <c r="E104" s="34" t="n"/>
      <c r="F104" s="33" t="n"/>
      <c r="G104" s="34" t="n"/>
      <c r="H104" s="33" t="n"/>
      <c r="I104" s="22">
        <f>IF(D104="","",COUNTIFS(LOG_DATE,D104,LOG_STATE,"承認")+COUNTIFS(LOG_DATE,D104,LOG_STATE,"申請中")-IF(G104="却下",0,1))</f>
        <v/>
      </c>
      <c r="J104" s="22">
        <f>IF(D104="","",IFERROR(SUMPRODUCT((INDEX(STAFF_DAYS,0,WEEKDAY(D104,2))="○")*1)-I104-IF(G104="却下",0,1),"日付を確認"))</f>
        <v/>
      </c>
      <c r="K104" s="27">
        <f>IF(D104="","",IFERROR(IF(OR(INDEX(BIZ_DAYS,WEEKDAY(D104,2))="×",COUNTIF(HOLIDAYS,D104)&gt;0),"休業日",IF(J104&lt;MIN_ALL,"要確認","OK")),"日付を確認"))</f>
        <v/>
      </c>
      <c r="L104" s="29">
        <f>IF(AND(G104="承認",C104&lt;&gt;"",D104&lt;&gt;""),C104&amp;"|"&amp;TEXT(D104,"yyyymmdd"),"")</f>
        <v/>
      </c>
      <c r="M104" s="29">
        <f>IF(AND(G104="申請中",C104&lt;&gt;"",D104&lt;&gt;""),C104&amp;"|"&amp;TEXT(D104,"yyyymmdd"),"")</f>
        <v/>
      </c>
    </row>
    <row r="105">
      <c r="B105" s="32" t="n"/>
      <c r="C105" s="33" t="n"/>
      <c r="D105" s="32" t="n"/>
      <c r="E105" s="34" t="n"/>
      <c r="F105" s="33" t="n"/>
      <c r="G105" s="34" t="n"/>
      <c r="H105" s="33" t="n"/>
      <c r="I105" s="22">
        <f>IF(D105="","",COUNTIFS(LOG_DATE,D105,LOG_STATE,"承認")+COUNTIFS(LOG_DATE,D105,LOG_STATE,"申請中")-IF(G105="却下",0,1))</f>
        <v/>
      </c>
      <c r="J105" s="22">
        <f>IF(D105="","",IFERROR(SUMPRODUCT((INDEX(STAFF_DAYS,0,WEEKDAY(D105,2))="○")*1)-I105-IF(G105="却下",0,1),"日付を確認"))</f>
        <v/>
      </c>
      <c r="K105" s="27">
        <f>IF(D105="","",IFERROR(IF(OR(INDEX(BIZ_DAYS,WEEKDAY(D105,2))="×",COUNTIF(HOLIDAYS,D105)&gt;0),"休業日",IF(J105&lt;MIN_ALL,"要確認","OK")),"日付を確認"))</f>
        <v/>
      </c>
      <c r="L105" s="29">
        <f>IF(AND(G105="承認",C105&lt;&gt;"",D105&lt;&gt;""),C105&amp;"|"&amp;TEXT(D105,"yyyymmdd"),"")</f>
        <v/>
      </c>
      <c r="M105" s="29">
        <f>IF(AND(G105="申請中",C105&lt;&gt;"",D105&lt;&gt;""),C105&amp;"|"&amp;TEXT(D105,"yyyymmdd"),"")</f>
        <v/>
      </c>
    </row>
    <row r="106">
      <c r="B106" s="32" t="n"/>
      <c r="C106" s="33" t="n"/>
      <c r="D106" s="32" t="n"/>
      <c r="E106" s="34" t="n"/>
      <c r="F106" s="33" t="n"/>
      <c r="G106" s="34" t="n"/>
      <c r="H106" s="33" t="n"/>
      <c r="I106" s="22">
        <f>IF(D106="","",COUNTIFS(LOG_DATE,D106,LOG_STATE,"承認")+COUNTIFS(LOG_DATE,D106,LOG_STATE,"申請中")-IF(G106="却下",0,1))</f>
        <v/>
      </c>
      <c r="J106" s="22">
        <f>IF(D106="","",IFERROR(SUMPRODUCT((INDEX(STAFF_DAYS,0,WEEKDAY(D106,2))="○")*1)-I106-IF(G106="却下",0,1),"日付を確認"))</f>
        <v/>
      </c>
      <c r="K106" s="27">
        <f>IF(D106="","",IFERROR(IF(OR(INDEX(BIZ_DAYS,WEEKDAY(D106,2))="×",COUNTIF(HOLIDAYS,D106)&gt;0),"休業日",IF(J106&lt;MIN_ALL,"要確認","OK")),"日付を確認"))</f>
        <v/>
      </c>
      <c r="L106" s="29">
        <f>IF(AND(G106="承認",C106&lt;&gt;"",D106&lt;&gt;""),C106&amp;"|"&amp;TEXT(D106,"yyyymmdd"),"")</f>
        <v/>
      </c>
      <c r="M106" s="29">
        <f>IF(AND(G106="申請中",C106&lt;&gt;"",D106&lt;&gt;""),C106&amp;"|"&amp;TEXT(D106,"yyyymmdd"),"")</f>
        <v/>
      </c>
    </row>
    <row r="107">
      <c r="B107" s="32" t="n"/>
      <c r="C107" s="33" t="n"/>
      <c r="D107" s="32" t="n"/>
      <c r="E107" s="34" t="n"/>
      <c r="F107" s="33" t="n"/>
      <c r="G107" s="34" t="n"/>
      <c r="H107" s="33" t="n"/>
      <c r="I107" s="22">
        <f>IF(D107="","",COUNTIFS(LOG_DATE,D107,LOG_STATE,"承認")+COUNTIFS(LOG_DATE,D107,LOG_STATE,"申請中")-IF(G107="却下",0,1))</f>
        <v/>
      </c>
      <c r="J107" s="22">
        <f>IF(D107="","",IFERROR(SUMPRODUCT((INDEX(STAFF_DAYS,0,WEEKDAY(D107,2))="○")*1)-I107-IF(G107="却下",0,1),"日付を確認"))</f>
        <v/>
      </c>
      <c r="K107" s="27">
        <f>IF(D107="","",IFERROR(IF(OR(INDEX(BIZ_DAYS,WEEKDAY(D107,2))="×",COUNTIF(HOLIDAYS,D107)&gt;0),"休業日",IF(J107&lt;MIN_ALL,"要確認","OK")),"日付を確認"))</f>
        <v/>
      </c>
      <c r="L107" s="29">
        <f>IF(AND(G107="承認",C107&lt;&gt;"",D107&lt;&gt;""),C107&amp;"|"&amp;TEXT(D107,"yyyymmdd"),"")</f>
        <v/>
      </c>
      <c r="M107" s="29">
        <f>IF(AND(G107="申請中",C107&lt;&gt;"",D107&lt;&gt;""),C107&amp;"|"&amp;TEXT(D107,"yyyymmdd"),"")</f>
        <v/>
      </c>
    </row>
    <row r="108">
      <c r="B108" s="32" t="n"/>
      <c r="C108" s="33" t="n"/>
      <c r="D108" s="32" t="n"/>
      <c r="E108" s="34" t="n"/>
      <c r="F108" s="33" t="n"/>
      <c r="G108" s="34" t="n"/>
      <c r="H108" s="33" t="n"/>
      <c r="I108" s="22">
        <f>IF(D108="","",COUNTIFS(LOG_DATE,D108,LOG_STATE,"承認")+COUNTIFS(LOG_DATE,D108,LOG_STATE,"申請中")-IF(G108="却下",0,1))</f>
        <v/>
      </c>
      <c r="J108" s="22">
        <f>IF(D108="","",IFERROR(SUMPRODUCT((INDEX(STAFF_DAYS,0,WEEKDAY(D108,2))="○")*1)-I108-IF(G108="却下",0,1),"日付を確認"))</f>
        <v/>
      </c>
      <c r="K108" s="27">
        <f>IF(D108="","",IFERROR(IF(OR(INDEX(BIZ_DAYS,WEEKDAY(D108,2))="×",COUNTIF(HOLIDAYS,D108)&gt;0),"休業日",IF(J108&lt;MIN_ALL,"要確認","OK")),"日付を確認"))</f>
        <v/>
      </c>
      <c r="L108" s="29">
        <f>IF(AND(G108="承認",C108&lt;&gt;"",D108&lt;&gt;""),C108&amp;"|"&amp;TEXT(D108,"yyyymmdd"),"")</f>
        <v/>
      </c>
      <c r="M108" s="29">
        <f>IF(AND(G108="申請中",C108&lt;&gt;"",D108&lt;&gt;""),C108&amp;"|"&amp;TEXT(D108,"yyyymmdd"),"")</f>
        <v/>
      </c>
    </row>
    <row r="109">
      <c r="B109" s="32" t="n"/>
      <c r="C109" s="33" t="n"/>
      <c r="D109" s="32" t="n"/>
      <c r="E109" s="34" t="n"/>
      <c r="F109" s="33" t="n"/>
      <c r="G109" s="34" t="n"/>
      <c r="H109" s="33" t="n"/>
      <c r="I109" s="22">
        <f>IF(D109="","",COUNTIFS(LOG_DATE,D109,LOG_STATE,"承認")+COUNTIFS(LOG_DATE,D109,LOG_STATE,"申請中")-IF(G109="却下",0,1))</f>
        <v/>
      </c>
      <c r="J109" s="22">
        <f>IF(D109="","",IFERROR(SUMPRODUCT((INDEX(STAFF_DAYS,0,WEEKDAY(D109,2))="○")*1)-I109-IF(G109="却下",0,1),"日付を確認"))</f>
        <v/>
      </c>
      <c r="K109" s="27">
        <f>IF(D109="","",IFERROR(IF(OR(INDEX(BIZ_DAYS,WEEKDAY(D109,2))="×",COUNTIF(HOLIDAYS,D109)&gt;0),"休業日",IF(J109&lt;MIN_ALL,"要確認","OK")),"日付を確認"))</f>
        <v/>
      </c>
      <c r="L109" s="29">
        <f>IF(AND(G109="承認",C109&lt;&gt;"",D109&lt;&gt;""),C109&amp;"|"&amp;TEXT(D109,"yyyymmdd"),"")</f>
        <v/>
      </c>
      <c r="M109" s="29">
        <f>IF(AND(G109="申請中",C109&lt;&gt;"",D109&lt;&gt;""),C109&amp;"|"&amp;TEXT(D109,"yyyymmdd"),"")</f>
        <v/>
      </c>
    </row>
    <row r="110">
      <c r="B110" s="32" t="n"/>
      <c r="C110" s="33" t="n"/>
      <c r="D110" s="32" t="n"/>
      <c r="E110" s="34" t="n"/>
      <c r="F110" s="33" t="n"/>
      <c r="G110" s="34" t="n"/>
      <c r="H110" s="33" t="n"/>
      <c r="I110" s="22">
        <f>IF(D110="","",COUNTIFS(LOG_DATE,D110,LOG_STATE,"承認")+COUNTIFS(LOG_DATE,D110,LOG_STATE,"申請中")-IF(G110="却下",0,1))</f>
        <v/>
      </c>
      <c r="J110" s="22">
        <f>IF(D110="","",IFERROR(SUMPRODUCT((INDEX(STAFF_DAYS,0,WEEKDAY(D110,2))="○")*1)-I110-IF(G110="却下",0,1),"日付を確認"))</f>
        <v/>
      </c>
      <c r="K110" s="27">
        <f>IF(D110="","",IFERROR(IF(OR(INDEX(BIZ_DAYS,WEEKDAY(D110,2))="×",COUNTIF(HOLIDAYS,D110)&gt;0),"休業日",IF(J110&lt;MIN_ALL,"要確認","OK")),"日付を確認"))</f>
        <v/>
      </c>
      <c r="L110" s="29">
        <f>IF(AND(G110="承認",C110&lt;&gt;"",D110&lt;&gt;""),C110&amp;"|"&amp;TEXT(D110,"yyyymmdd"),"")</f>
        <v/>
      </c>
      <c r="M110" s="29">
        <f>IF(AND(G110="申請中",C110&lt;&gt;"",D110&lt;&gt;""),C110&amp;"|"&amp;TEXT(D110,"yyyymmdd"),"")</f>
        <v/>
      </c>
    </row>
    <row r="111">
      <c r="B111" s="32" t="n"/>
      <c r="C111" s="33" t="n"/>
      <c r="D111" s="32" t="n"/>
      <c r="E111" s="34" t="n"/>
      <c r="F111" s="33" t="n"/>
      <c r="G111" s="34" t="n"/>
      <c r="H111" s="33" t="n"/>
      <c r="I111" s="22">
        <f>IF(D111="","",COUNTIFS(LOG_DATE,D111,LOG_STATE,"承認")+COUNTIFS(LOG_DATE,D111,LOG_STATE,"申請中")-IF(G111="却下",0,1))</f>
        <v/>
      </c>
      <c r="J111" s="22">
        <f>IF(D111="","",IFERROR(SUMPRODUCT((INDEX(STAFF_DAYS,0,WEEKDAY(D111,2))="○")*1)-I111-IF(G111="却下",0,1),"日付を確認"))</f>
        <v/>
      </c>
      <c r="K111" s="27">
        <f>IF(D111="","",IFERROR(IF(OR(INDEX(BIZ_DAYS,WEEKDAY(D111,2))="×",COUNTIF(HOLIDAYS,D111)&gt;0),"休業日",IF(J111&lt;MIN_ALL,"要確認","OK")),"日付を確認"))</f>
        <v/>
      </c>
      <c r="L111" s="29">
        <f>IF(AND(G111="承認",C111&lt;&gt;"",D111&lt;&gt;""),C111&amp;"|"&amp;TEXT(D111,"yyyymmdd"),"")</f>
        <v/>
      </c>
      <c r="M111" s="29">
        <f>IF(AND(G111="申請中",C111&lt;&gt;"",D111&lt;&gt;""),C111&amp;"|"&amp;TEXT(D111,"yyyymmdd"),"")</f>
        <v/>
      </c>
    </row>
    <row r="112">
      <c r="B112" s="32" t="n"/>
      <c r="C112" s="33" t="n"/>
      <c r="D112" s="32" t="n"/>
      <c r="E112" s="34" t="n"/>
      <c r="F112" s="33" t="n"/>
      <c r="G112" s="34" t="n"/>
      <c r="H112" s="33" t="n"/>
      <c r="I112" s="22">
        <f>IF(D112="","",COUNTIFS(LOG_DATE,D112,LOG_STATE,"承認")+COUNTIFS(LOG_DATE,D112,LOG_STATE,"申請中")-IF(G112="却下",0,1))</f>
        <v/>
      </c>
      <c r="J112" s="22">
        <f>IF(D112="","",IFERROR(SUMPRODUCT((INDEX(STAFF_DAYS,0,WEEKDAY(D112,2))="○")*1)-I112-IF(G112="却下",0,1),"日付を確認"))</f>
        <v/>
      </c>
      <c r="K112" s="27">
        <f>IF(D112="","",IFERROR(IF(OR(INDEX(BIZ_DAYS,WEEKDAY(D112,2))="×",COUNTIF(HOLIDAYS,D112)&gt;0),"休業日",IF(J112&lt;MIN_ALL,"要確認","OK")),"日付を確認"))</f>
        <v/>
      </c>
      <c r="L112" s="29">
        <f>IF(AND(G112="承認",C112&lt;&gt;"",D112&lt;&gt;""),C112&amp;"|"&amp;TEXT(D112,"yyyymmdd"),"")</f>
        <v/>
      </c>
      <c r="M112" s="29">
        <f>IF(AND(G112="申請中",C112&lt;&gt;"",D112&lt;&gt;""),C112&amp;"|"&amp;TEXT(D112,"yyyymmdd"),"")</f>
        <v/>
      </c>
    </row>
    <row r="113">
      <c r="B113" s="32" t="n"/>
      <c r="C113" s="33" t="n"/>
      <c r="D113" s="32" t="n"/>
      <c r="E113" s="34" t="n"/>
      <c r="F113" s="33" t="n"/>
      <c r="G113" s="34" t="n"/>
      <c r="H113" s="33" t="n"/>
      <c r="I113" s="22">
        <f>IF(D113="","",COUNTIFS(LOG_DATE,D113,LOG_STATE,"承認")+COUNTIFS(LOG_DATE,D113,LOG_STATE,"申請中")-IF(G113="却下",0,1))</f>
        <v/>
      </c>
      <c r="J113" s="22">
        <f>IF(D113="","",IFERROR(SUMPRODUCT((INDEX(STAFF_DAYS,0,WEEKDAY(D113,2))="○")*1)-I113-IF(G113="却下",0,1),"日付を確認"))</f>
        <v/>
      </c>
      <c r="K113" s="27">
        <f>IF(D113="","",IFERROR(IF(OR(INDEX(BIZ_DAYS,WEEKDAY(D113,2))="×",COUNTIF(HOLIDAYS,D113)&gt;0),"休業日",IF(J113&lt;MIN_ALL,"要確認","OK")),"日付を確認"))</f>
        <v/>
      </c>
      <c r="L113" s="29">
        <f>IF(AND(G113="承認",C113&lt;&gt;"",D113&lt;&gt;""),C113&amp;"|"&amp;TEXT(D113,"yyyymmdd"),"")</f>
        <v/>
      </c>
      <c r="M113" s="29">
        <f>IF(AND(G113="申請中",C113&lt;&gt;"",D113&lt;&gt;""),C113&amp;"|"&amp;TEXT(D113,"yyyymmdd"),"")</f>
        <v/>
      </c>
    </row>
    <row r="114">
      <c r="B114" s="32" t="n"/>
      <c r="C114" s="33" t="n"/>
      <c r="D114" s="32" t="n"/>
      <c r="E114" s="34" t="n"/>
      <c r="F114" s="33" t="n"/>
      <c r="G114" s="34" t="n"/>
      <c r="H114" s="33" t="n"/>
      <c r="I114" s="22">
        <f>IF(D114="","",COUNTIFS(LOG_DATE,D114,LOG_STATE,"承認")+COUNTIFS(LOG_DATE,D114,LOG_STATE,"申請中")-IF(G114="却下",0,1))</f>
        <v/>
      </c>
      <c r="J114" s="22">
        <f>IF(D114="","",IFERROR(SUMPRODUCT((INDEX(STAFF_DAYS,0,WEEKDAY(D114,2))="○")*1)-I114-IF(G114="却下",0,1),"日付を確認"))</f>
        <v/>
      </c>
      <c r="K114" s="27">
        <f>IF(D114="","",IFERROR(IF(OR(INDEX(BIZ_DAYS,WEEKDAY(D114,2))="×",COUNTIF(HOLIDAYS,D114)&gt;0),"休業日",IF(J114&lt;MIN_ALL,"要確認","OK")),"日付を確認"))</f>
        <v/>
      </c>
      <c r="L114" s="29">
        <f>IF(AND(G114="承認",C114&lt;&gt;"",D114&lt;&gt;""),C114&amp;"|"&amp;TEXT(D114,"yyyymmdd"),"")</f>
        <v/>
      </c>
      <c r="M114" s="29">
        <f>IF(AND(G114="申請中",C114&lt;&gt;"",D114&lt;&gt;""),C114&amp;"|"&amp;TEXT(D114,"yyyymmdd"),"")</f>
        <v/>
      </c>
    </row>
    <row r="115">
      <c r="B115" s="32" t="n"/>
      <c r="C115" s="33" t="n"/>
      <c r="D115" s="32" t="n"/>
      <c r="E115" s="34" t="n"/>
      <c r="F115" s="33" t="n"/>
      <c r="G115" s="34" t="n"/>
      <c r="H115" s="33" t="n"/>
      <c r="I115" s="22">
        <f>IF(D115="","",COUNTIFS(LOG_DATE,D115,LOG_STATE,"承認")+COUNTIFS(LOG_DATE,D115,LOG_STATE,"申請中")-IF(G115="却下",0,1))</f>
        <v/>
      </c>
      <c r="J115" s="22">
        <f>IF(D115="","",IFERROR(SUMPRODUCT((INDEX(STAFF_DAYS,0,WEEKDAY(D115,2))="○")*1)-I115-IF(G115="却下",0,1),"日付を確認"))</f>
        <v/>
      </c>
      <c r="K115" s="27">
        <f>IF(D115="","",IFERROR(IF(OR(INDEX(BIZ_DAYS,WEEKDAY(D115,2))="×",COUNTIF(HOLIDAYS,D115)&gt;0),"休業日",IF(J115&lt;MIN_ALL,"要確認","OK")),"日付を確認"))</f>
        <v/>
      </c>
      <c r="L115" s="29">
        <f>IF(AND(G115="承認",C115&lt;&gt;"",D115&lt;&gt;""),C115&amp;"|"&amp;TEXT(D115,"yyyymmdd"),"")</f>
        <v/>
      </c>
      <c r="M115" s="29">
        <f>IF(AND(G115="申請中",C115&lt;&gt;"",D115&lt;&gt;""),C115&amp;"|"&amp;TEXT(D115,"yyyymmdd"),"")</f>
        <v/>
      </c>
    </row>
    <row r="116">
      <c r="B116" s="32" t="n"/>
      <c r="C116" s="33" t="n"/>
      <c r="D116" s="32" t="n"/>
      <c r="E116" s="34" t="n"/>
      <c r="F116" s="33" t="n"/>
      <c r="G116" s="34" t="n"/>
      <c r="H116" s="33" t="n"/>
      <c r="I116" s="22">
        <f>IF(D116="","",COUNTIFS(LOG_DATE,D116,LOG_STATE,"承認")+COUNTIFS(LOG_DATE,D116,LOG_STATE,"申請中")-IF(G116="却下",0,1))</f>
        <v/>
      </c>
      <c r="J116" s="22">
        <f>IF(D116="","",IFERROR(SUMPRODUCT((INDEX(STAFF_DAYS,0,WEEKDAY(D116,2))="○")*1)-I116-IF(G116="却下",0,1),"日付を確認"))</f>
        <v/>
      </c>
      <c r="K116" s="27">
        <f>IF(D116="","",IFERROR(IF(OR(INDEX(BIZ_DAYS,WEEKDAY(D116,2))="×",COUNTIF(HOLIDAYS,D116)&gt;0),"休業日",IF(J116&lt;MIN_ALL,"要確認","OK")),"日付を確認"))</f>
        <v/>
      </c>
      <c r="L116" s="29">
        <f>IF(AND(G116="承認",C116&lt;&gt;"",D116&lt;&gt;""),C116&amp;"|"&amp;TEXT(D116,"yyyymmdd"),"")</f>
        <v/>
      </c>
      <c r="M116" s="29">
        <f>IF(AND(G116="申請中",C116&lt;&gt;"",D116&lt;&gt;""),C116&amp;"|"&amp;TEXT(D116,"yyyymmdd"),"")</f>
        <v/>
      </c>
    </row>
    <row r="117">
      <c r="B117" s="32" t="n"/>
      <c r="C117" s="33" t="n"/>
      <c r="D117" s="32" t="n"/>
      <c r="E117" s="34" t="n"/>
      <c r="F117" s="33" t="n"/>
      <c r="G117" s="34" t="n"/>
      <c r="H117" s="33" t="n"/>
      <c r="I117" s="22">
        <f>IF(D117="","",COUNTIFS(LOG_DATE,D117,LOG_STATE,"承認")+COUNTIFS(LOG_DATE,D117,LOG_STATE,"申請中")-IF(G117="却下",0,1))</f>
        <v/>
      </c>
      <c r="J117" s="22">
        <f>IF(D117="","",IFERROR(SUMPRODUCT((INDEX(STAFF_DAYS,0,WEEKDAY(D117,2))="○")*1)-I117-IF(G117="却下",0,1),"日付を確認"))</f>
        <v/>
      </c>
      <c r="K117" s="27">
        <f>IF(D117="","",IFERROR(IF(OR(INDEX(BIZ_DAYS,WEEKDAY(D117,2))="×",COUNTIF(HOLIDAYS,D117)&gt;0),"休業日",IF(J117&lt;MIN_ALL,"要確認","OK")),"日付を確認"))</f>
        <v/>
      </c>
      <c r="L117" s="29">
        <f>IF(AND(G117="承認",C117&lt;&gt;"",D117&lt;&gt;""),C117&amp;"|"&amp;TEXT(D117,"yyyymmdd"),"")</f>
        <v/>
      </c>
      <c r="M117" s="29">
        <f>IF(AND(G117="申請中",C117&lt;&gt;"",D117&lt;&gt;""),C117&amp;"|"&amp;TEXT(D117,"yyyymmdd"),"")</f>
        <v/>
      </c>
    </row>
    <row r="118">
      <c r="B118" s="32" t="n"/>
      <c r="C118" s="33" t="n"/>
      <c r="D118" s="32" t="n"/>
      <c r="E118" s="34" t="n"/>
      <c r="F118" s="33" t="n"/>
      <c r="G118" s="34" t="n"/>
      <c r="H118" s="33" t="n"/>
      <c r="I118" s="22">
        <f>IF(D118="","",COUNTIFS(LOG_DATE,D118,LOG_STATE,"承認")+COUNTIFS(LOG_DATE,D118,LOG_STATE,"申請中")-IF(G118="却下",0,1))</f>
        <v/>
      </c>
      <c r="J118" s="22">
        <f>IF(D118="","",IFERROR(SUMPRODUCT((INDEX(STAFF_DAYS,0,WEEKDAY(D118,2))="○")*1)-I118-IF(G118="却下",0,1),"日付を確認"))</f>
        <v/>
      </c>
      <c r="K118" s="27">
        <f>IF(D118="","",IFERROR(IF(OR(INDEX(BIZ_DAYS,WEEKDAY(D118,2))="×",COUNTIF(HOLIDAYS,D118)&gt;0),"休業日",IF(J118&lt;MIN_ALL,"要確認","OK")),"日付を確認"))</f>
        <v/>
      </c>
      <c r="L118" s="29">
        <f>IF(AND(G118="承認",C118&lt;&gt;"",D118&lt;&gt;""),C118&amp;"|"&amp;TEXT(D118,"yyyymmdd"),"")</f>
        <v/>
      </c>
      <c r="M118" s="29">
        <f>IF(AND(G118="申請中",C118&lt;&gt;"",D118&lt;&gt;""),C118&amp;"|"&amp;TEXT(D118,"yyyymmdd"),"")</f>
        <v/>
      </c>
    </row>
    <row r="119">
      <c r="B119" s="32" t="n"/>
      <c r="C119" s="33" t="n"/>
      <c r="D119" s="32" t="n"/>
      <c r="E119" s="34" t="n"/>
      <c r="F119" s="33" t="n"/>
      <c r="G119" s="34" t="n"/>
      <c r="H119" s="33" t="n"/>
      <c r="I119" s="22">
        <f>IF(D119="","",COUNTIFS(LOG_DATE,D119,LOG_STATE,"承認")+COUNTIFS(LOG_DATE,D119,LOG_STATE,"申請中")-IF(G119="却下",0,1))</f>
        <v/>
      </c>
      <c r="J119" s="22">
        <f>IF(D119="","",IFERROR(SUMPRODUCT((INDEX(STAFF_DAYS,0,WEEKDAY(D119,2))="○")*1)-I119-IF(G119="却下",0,1),"日付を確認"))</f>
        <v/>
      </c>
      <c r="K119" s="27">
        <f>IF(D119="","",IFERROR(IF(OR(INDEX(BIZ_DAYS,WEEKDAY(D119,2))="×",COUNTIF(HOLIDAYS,D119)&gt;0),"休業日",IF(J119&lt;MIN_ALL,"要確認","OK")),"日付を確認"))</f>
        <v/>
      </c>
      <c r="L119" s="29">
        <f>IF(AND(G119="承認",C119&lt;&gt;"",D119&lt;&gt;""),C119&amp;"|"&amp;TEXT(D119,"yyyymmdd"),"")</f>
        <v/>
      </c>
      <c r="M119" s="29">
        <f>IF(AND(G119="申請中",C119&lt;&gt;"",D119&lt;&gt;""),C119&amp;"|"&amp;TEXT(D119,"yyyymmdd"),"")</f>
        <v/>
      </c>
    </row>
    <row r="120">
      <c r="B120" s="32" t="n"/>
      <c r="C120" s="33" t="n"/>
      <c r="D120" s="32" t="n"/>
      <c r="E120" s="34" t="n"/>
      <c r="F120" s="33" t="n"/>
      <c r="G120" s="34" t="n"/>
      <c r="H120" s="33" t="n"/>
      <c r="I120" s="22">
        <f>IF(D120="","",COUNTIFS(LOG_DATE,D120,LOG_STATE,"承認")+COUNTIFS(LOG_DATE,D120,LOG_STATE,"申請中")-IF(G120="却下",0,1))</f>
        <v/>
      </c>
      <c r="J120" s="22">
        <f>IF(D120="","",IFERROR(SUMPRODUCT((INDEX(STAFF_DAYS,0,WEEKDAY(D120,2))="○")*1)-I120-IF(G120="却下",0,1),"日付を確認"))</f>
        <v/>
      </c>
      <c r="K120" s="27">
        <f>IF(D120="","",IFERROR(IF(OR(INDEX(BIZ_DAYS,WEEKDAY(D120,2))="×",COUNTIF(HOLIDAYS,D120)&gt;0),"休業日",IF(J120&lt;MIN_ALL,"要確認","OK")),"日付を確認"))</f>
        <v/>
      </c>
      <c r="L120" s="29">
        <f>IF(AND(G120="承認",C120&lt;&gt;"",D120&lt;&gt;""),C120&amp;"|"&amp;TEXT(D120,"yyyymmdd"),"")</f>
        <v/>
      </c>
      <c r="M120" s="29">
        <f>IF(AND(G120="申請中",C120&lt;&gt;"",D120&lt;&gt;""),C120&amp;"|"&amp;TEXT(D120,"yyyymmdd"),"")</f>
        <v/>
      </c>
    </row>
    <row r="121">
      <c r="B121" s="32" t="n"/>
      <c r="C121" s="33" t="n"/>
      <c r="D121" s="32" t="n"/>
      <c r="E121" s="34" t="n"/>
      <c r="F121" s="33" t="n"/>
      <c r="G121" s="34" t="n"/>
      <c r="H121" s="33" t="n"/>
      <c r="I121" s="22">
        <f>IF(D121="","",COUNTIFS(LOG_DATE,D121,LOG_STATE,"承認")+COUNTIFS(LOG_DATE,D121,LOG_STATE,"申請中")-IF(G121="却下",0,1))</f>
        <v/>
      </c>
      <c r="J121" s="22">
        <f>IF(D121="","",IFERROR(SUMPRODUCT((INDEX(STAFF_DAYS,0,WEEKDAY(D121,2))="○")*1)-I121-IF(G121="却下",0,1),"日付を確認"))</f>
        <v/>
      </c>
      <c r="K121" s="27">
        <f>IF(D121="","",IFERROR(IF(OR(INDEX(BIZ_DAYS,WEEKDAY(D121,2))="×",COUNTIF(HOLIDAYS,D121)&gt;0),"休業日",IF(J121&lt;MIN_ALL,"要確認","OK")),"日付を確認"))</f>
        <v/>
      </c>
      <c r="L121" s="29">
        <f>IF(AND(G121="承認",C121&lt;&gt;"",D121&lt;&gt;""),C121&amp;"|"&amp;TEXT(D121,"yyyymmdd"),"")</f>
        <v/>
      </c>
      <c r="M121" s="29">
        <f>IF(AND(G121="申請中",C121&lt;&gt;"",D121&lt;&gt;""),C121&amp;"|"&amp;TEXT(D121,"yyyymmdd"),"")</f>
        <v/>
      </c>
    </row>
    <row r="122">
      <c r="B122" s="32" t="n"/>
      <c r="C122" s="33" t="n"/>
      <c r="D122" s="32" t="n"/>
      <c r="E122" s="34" t="n"/>
      <c r="F122" s="33" t="n"/>
      <c r="G122" s="34" t="n"/>
      <c r="H122" s="33" t="n"/>
      <c r="I122" s="22">
        <f>IF(D122="","",COUNTIFS(LOG_DATE,D122,LOG_STATE,"承認")+COUNTIFS(LOG_DATE,D122,LOG_STATE,"申請中")-IF(G122="却下",0,1))</f>
        <v/>
      </c>
      <c r="J122" s="22">
        <f>IF(D122="","",IFERROR(SUMPRODUCT((INDEX(STAFF_DAYS,0,WEEKDAY(D122,2))="○")*1)-I122-IF(G122="却下",0,1),"日付を確認"))</f>
        <v/>
      </c>
      <c r="K122" s="27">
        <f>IF(D122="","",IFERROR(IF(OR(INDEX(BIZ_DAYS,WEEKDAY(D122,2))="×",COUNTIF(HOLIDAYS,D122)&gt;0),"休業日",IF(J122&lt;MIN_ALL,"要確認","OK")),"日付を確認"))</f>
        <v/>
      </c>
      <c r="L122" s="29">
        <f>IF(AND(G122="承認",C122&lt;&gt;"",D122&lt;&gt;""),C122&amp;"|"&amp;TEXT(D122,"yyyymmdd"),"")</f>
        <v/>
      </c>
      <c r="M122" s="29">
        <f>IF(AND(G122="申請中",C122&lt;&gt;"",D122&lt;&gt;""),C122&amp;"|"&amp;TEXT(D122,"yyyymmdd"),"")</f>
        <v/>
      </c>
    </row>
    <row r="123">
      <c r="B123" s="32" t="n"/>
      <c r="C123" s="33" t="n"/>
      <c r="D123" s="32" t="n"/>
      <c r="E123" s="34" t="n"/>
      <c r="F123" s="33" t="n"/>
      <c r="G123" s="34" t="n"/>
      <c r="H123" s="33" t="n"/>
      <c r="I123" s="22">
        <f>IF(D123="","",COUNTIFS(LOG_DATE,D123,LOG_STATE,"承認")+COUNTIFS(LOG_DATE,D123,LOG_STATE,"申請中")-IF(G123="却下",0,1))</f>
        <v/>
      </c>
      <c r="J123" s="22">
        <f>IF(D123="","",IFERROR(SUMPRODUCT((INDEX(STAFF_DAYS,0,WEEKDAY(D123,2))="○")*1)-I123-IF(G123="却下",0,1),"日付を確認"))</f>
        <v/>
      </c>
      <c r="K123" s="27">
        <f>IF(D123="","",IFERROR(IF(OR(INDEX(BIZ_DAYS,WEEKDAY(D123,2))="×",COUNTIF(HOLIDAYS,D123)&gt;0),"休業日",IF(J123&lt;MIN_ALL,"要確認","OK")),"日付を確認"))</f>
        <v/>
      </c>
      <c r="L123" s="29">
        <f>IF(AND(G123="承認",C123&lt;&gt;"",D123&lt;&gt;""),C123&amp;"|"&amp;TEXT(D123,"yyyymmdd"),"")</f>
        <v/>
      </c>
      <c r="M123" s="29">
        <f>IF(AND(G123="申請中",C123&lt;&gt;"",D123&lt;&gt;""),C123&amp;"|"&amp;TEXT(D123,"yyyymmdd"),"")</f>
        <v/>
      </c>
    </row>
    <row r="124">
      <c r="B124" s="32" t="n"/>
      <c r="C124" s="33" t="n"/>
      <c r="D124" s="32" t="n"/>
      <c r="E124" s="34" t="n"/>
      <c r="F124" s="33" t="n"/>
      <c r="G124" s="34" t="n"/>
      <c r="H124" s="33" t="n"/>
      <c r="I124" s="22">
        <f>IF(D124="","",COUNTIFS(LOG_DATE,D124,LOG_STATE,"承認")+COUNTIFS(LOG_DATE,D124,LOG_STATE,"申請中")-IF(G124="却下",0,1))</f>
        <v/>
      </c>
      <c r="J124" s="22">
        <f>IF(D124="","",IFERROR(SUMPRODUCT((INDEX(STAFF_DAYS,0,WEEKDAY(D124,2))="○")*1)-I124-IF(G124="却下",0,1),"日付を確認"))</f>
        <v/>
      </c>
      <c r="K124" s="27">
        <f>IF(D124="","",IFERROR(IF(OR(INDEX(BIZ_DAYS,WEEKDAY(D124,2))="×",COUNTIF(HOLIDAYS,D124)&gt;0),"休業日",IF(J124&lt;MIN_ALL,"要確認","OK")),"日付を確認"))</f>
        <v/>
      </c>
      <c r="L124" s="29">
        <f>IF(AND(G124="承認",C124&lt;&gt;"",D124&lt;&gt;""),C124&amp;"|"&amp;TEXT(D124,"yyyymmdd"),"")</f>
        <v/>
      </c>
      <c r="M124" s="29">
        <f>IF(AND(G124="申請中",C124&lt;&gt;"",D124&lt;&gt;""),C124&amp;"|"&amp;TEXT(D124,"yyyymmdd"),"")</f>
        <v/>
      </c>
    </row>
    <row r="125">
      <c r="B125" s="32" t="n"/>
      <c r="C125" s="33" t="n"/>
      <c r="D125" s="32" t="n"/>
      <c r="E125" s="34" t="n"/>
      <c r="F125" s="33" t="n"/>
      <c r="G125" s="34" t="n"/>
      <c r="H125" s="33" t="n"/>
      <c r="I125" s="22">
        <f>IF(D125="","",COUNTIFS(LOG_DATE,D125,LOG_STATE,"承認")+COUNTIFS(LOG_DATE,D125,LOG_STATE,"申請中")-IF(G125="却下",0,1))</f>
        <v/>
      </c>
      <c r="J125" s="22">
        <f>IF(D125="","",IFERROR(SUMPRODUCT((INDEX(STAFF_DAYS,0,WEEKDAY(D125,2))="○")*1)-I125-IF(G125="却下",0,1),"日付を確認"))</f>
        <v/>
      </c>
      <c r="K125" s="27">
        <f>IF(D125="","",IFERROR(IF(OR(INDEX(BIZ_DAYS,WEEKDAY(D125,2))="×",COUNTIF(HOLIDAYS,D125)&gt;0),"休業日",IF(J125&lt;MIN_ALL,"要確認","OK")),"日付を確認"))</f>
        <v/>
      </c>
      <c r="L125" s="29">
        <f>IF(AND(G125="承認",C125&lt;&gt;"",D125&lt;&gt;""),C125&amp;"|"&amp;TEXT(D125,"yyyymmdd"),"")</f>
        <v/>
      </c>
      <c r="M125" s="29">
        <f>IF(AND(G125="申請中",C125&lt;&gt;"",D125&lt;&gt;""),C125&amp;"|"&amp;TEXT(D125,"yyyymmdd"),"")</f>
        <v/>
      </c>
    </row>
    <row r="126">
      <c r="B126" s="32" t="n"/>
      <c r="C126" s="33" t="n"/>
      <c r="D126" s="32" t="n"/>
      <c r="E126" s="34" t="n"/>
      <c r="F126" s="33" t="n"/>
      <c r="G126" s="34" t="n"/>
      <c r="H126" s="33" t="n"/>
      <c r="I126" s="22">
        <f>IF(D126="","",COUNTIFS(LOG_DATE,D126,LOG_STATE,"承認")+COUNTIFS(LOG_DATE,D126,LOG_STATE,"申請中")-IF(G126="却下",0,1))</f>
        <v/>
      </c>
      <c r="J126" s="22">
        <f>IF(D126="","",IFERROR(SUMPRODUCT((INDEX(STAFF_DAYS,0,WEEKDAY(D126,2))="○")*1)-I126-IF(G126="却下",0,1),"日付を確認"))</f>
        <v/>
      </c>
      <c r="K126" s="27">
        <f>IF(D126="","",IFERROR(IF(OR(INDEX(BIZ_DAYS,WEEKDAY(D126,2))="×",COUNTIF(HOLIDAYS,D126)&gt;0),"休業日",IF(J126&lt;MIN_ALL,"要確認","OK")),"日付を確認"))</f>
        <v/>
      </c>
      <c r="L126" s="29">
        <f>IF(AND(G126="承認",C126&lt;&gt;"",D126&lt;&gt;""),C126&amp;"|"&amp;TEXT(D126,"yyyymmdd"),"")</f>
        <v/>
      </c>
      <c r="M126" s="29">
        <f>IF(AND(G126="申請中",C126&lt;&gt;"",D126&lt;&gt;""),C126&amp;"|"&amp;TEXT(D126,"yyyymmdd"),"")</f>
        <v/>
      </c>
    </row>
    <row r="127">
      <c r="B127" s="32" t="n"/>
      <c r="C127" s="33" t="n"/>
      <c r="D127" s="32" t="n"/>
      <c r="E127" s="34" t="n"/>
      <c r="F127" s="33" t="n"/>
      <c r="G127" s="34" t="n"/>
      <c r="H127" s="33" t="n"/>
      <c r="I127" s="22">
        <f>IF(D127="","",COUNTIFS(LOG_DATE,D127,LOG_STATE,"承認")+COUNTIFS(LOG_DATE,D127,LOG_STATE,"申請中")-IF(G127="却下",0,1))</f>
        <v/>
      </c>
      <c r="J127" s="22">
        <f>IF(D127="","",IFERROR(SUMPRODUCT((INDEX(STAFF_DAYS,0,WEEKDAY(D127,2))="○")*1)-I127-IF(G127="却下",0,1),"日付を確認"))</f>
        <v/>
      </c>
      <c r="K127" s="27">
        <f>IF(D127="","",IFERROR(IF(OR(INDEX(BIZ_DAYS,WEEKDAY(D127,2))="×",COUNTIF(HOLIDAYS,D127)&gt;0),"休業日",IF(J127&lt;MIN_ALL,"要確認","OK")),"日付を確認"))</f>
        <v/>
      </c>
      <c r="L127" s="29">
        <f>IF(AND(G127="承認",C127&lt;&gt;"",D127&lt;&gt;""),C127&amp;"|"&amp;TEXT(D127,"yyyymmdd"),"")</f>
        <v/>
      </c>
      <c r="M127" s="29">
        <f>IF(AND(G127="申請中",C127&lt;&gt;"",D127&lt;&gt;""),C127&amp;"|"&amp;TEXT(D127,"yyyymmdd"),"")</f>
        <v/>
      </c>
    </row>
    <row r="128">
      <c r="B128" s="32" t="n"/>
      <c r="C128" s="33" t="n"/>
      <c r="D128" s="32" t="n"/>
      <c r="E128" s="34" t="n"/>
      <c r="F128" s="33" t="n"/>
      <c r="G128" s="34" t="n"/>
      <c r="H128" s="33" t="n"/>
      <c r="I128" s="22">
        <f>IF(D128="","",COUNTIFS(LOG_DATE,D128,LOG_STATE,"承認")+COUNTIFS(LOG_DATE,D128,LOG_STATE,"申請中")-IF(G128="却下",0,1))</f>
        <v/>
      </c>
      <c r="J128" s="22">
        <f>IF(D128="","",IFERROR(SUMPRODUCT((INDEX(STAFF_DAYS,0,WEEKDAY(D128,2))="○")*1)-I128-IF(G128="却下",0,1),"日付を確認"))</f>
        <v/>
      </c>
      <c r="K128" s="27">
        <f>IF(D128="","",IFERROR(IF(OR(INDEX(BIZ_DAYS,WEEKDAY(D128,2))="×",COUNTIF(HOLIDAYS,D128)&gt;0),"休業日",IF(J128&lt;MIN_ALL,"要確認","OK")),"日付を確認"))</f>
        <v/>
      </c>
      <c r="L128" s="29">
        <f>IF(AND(G128="承認",C128&lt;&gt;"",D128&lt;&gt;""),C128&amp;"|"&amp;TEXT(D128,"yyyymmdd"),"")</f>
        <v/>
      </c>
      <c r="M128" s="29">
        <f>IF(AND(G128="申請中",C128&lt;&gt;"",D128&lt;&gt;""),C128&amp;"|"&amp;TEXT(D128,"yyyymmdd"),"")</f>
        <v/>
      </c>
    </row>
    <row r="129">
      <c r="B129" s="32" t="n"/>
      <c r="C129" s="33" t="n"/>
      <c r="D129" s="32" t="n"/>
      <c r="E129" s="34" t="n"/>
      <c r="F129" s="33" t="n"/>
      <c r="G129" s="34" t="n"/>
      <c r="H129" s="33" t="n"/>
      <c r="I129" s="22">
        <f>IF(D129="","",COUNTIFS(LOG_DATE,D129,LOG_STATE,"承認")+COUNTIFS(LOG_DATE,D129,LOG_STATE,"申請中")-IF(G129="却下",0,1))</f>
        <v/>
      </c>
      <c r="J129" s="22">
        <f>IF(D129="","",IFERROR(SUMPRODUCT((INDEX(STAFF_DAYS,0,WEEKDAY(D129,2))="○")*1)-I129-IF(G129="却下",0,1),"日付を確認"))</f>
        <v/>
      </c>
      <c r="K129" s="27">
        <f>IF(D129="","",IFERROR(IF(OR(INDEX(BIZ_DAYS,WEEKDAY(D129,2))="×",COUNTIF(HOLIDAYS,D129)&gt;0),"休業日",IF(J129&lt;MIN_ALL,"要確認","OK")),"日付を確認"))</f>
        <v/>
      </c>
      <c r="L129" s="29">
        <f>IF(AND(G129="承認",C129&lt;&gt;"",D129&lt;&gt;""),C129&amp;"|"&amp;TEXT(D129,"yyyymmdd"),"")</f>
        <v/>
      </c>
      <c r="M129" s="29">
        <f>IF(AND(G129="申請中",C129&lt;&gt;"",D129&lt;&gt;""),C129&amp;"|"&amp;TEXT(D129,"yyyymmdd"),"")</f>
        <v/>
      </c>
    </row>
    <row r="130">
      <c r="B130" s="32" t="n"/>
      <c r="C130" s="33" t="n"/>
      <c r="D130" s="32" t="n"/>
      <c r="E130" s="34" t="n"/>
      <c r="F130" s="33" t="n"/>
      <c r="G130" s="34" t="n"/>
      <c r="H130" s="33" t="n"/>
      <c r="I130" s="22">
        <f>IF(D130="","",COUNTIFS(LOG_DATE,D130,LOG_STATE,"承認")+COUNTIFS(LOG_DATE,D130,LOG_STATE,"申請中")-IF(G130="却下",0,1))</f>
        <v/>
      </c>
      <c r="J130" s="22">
        <f>IF(D130="","",IFERROR(SUMPRODUCT((INDEX(STAFF_DAYS,0,WEEKDAY(D130,2))="○")*1)-I130-IF(G130="却下",0,1),"日付を確認"))</f>
        <v/>
      </c>
      <c r="K130" s="27">
        <f>IF(D130="","",IFERROR(IF(OR(INDEX(BIZ_DAYS,WEEKDAY(D130,2))="×",COUNTIF(HOLIDAYS,D130)&gt;0),"休業日",IF(J130&lt;MIN_ALL,"要確認","OK")),"日付を確認"))</f>
        <v/>
      </c>
      <c r="L130" s="29">
        <f>IF(AND(G130="承認",C130&lt;&gt;"",D130&lt;&gt;""),C130&amp;"|"&amp;TEXT(D130,"yyyymmdd"),"")</f>
        <v/>
      </c>
      <c r="M130" s="29">
        <f>IF(AND(G130="申請中",C130&lt;&gt;"",D130&lt;&gt;""),C130&amp;"|"&amp;TEXT(D130,"yyyymmdd"),"")</f>
        <v/>
      </c>
    </row>
    <row r="131">
      <c r="B131" s="32" t="n"/>
      <c r="C131" s="33" t="n"/>
      <c r="D131" s="32" t="n"/>
      <c r="E131" s="34" t="n"/>
      <c r="F131" s="33" t="n"/>
      <c r="G131" s="34" t="n"/>
      <c r="H131" s="33" t="n"/>
      <c r="I131" s="22">
        <f>IF(D131="","",COUNTIFS(LOG_DATE,D131,LOG_STATE,"承認")+COUNTIFS(LOG_DATE,D131,LOG_STATE,"申請中")-IF(G131="却下",0,1))</f>
        <v/>
      </c>
      <c r="J131" s="22">
        <f>IF(D131="","",IFERROR(SUMPRODUCT((INDEX(STAFF_DAYS,0,WEEKDAY(D131,2))="○")*1)-I131-IF(G131="却下",0,1),"日付を確認"))</f>
        <v/>
      </c>
      <c r="K131" s="27">
        <f>IF(D131="","",IFERROR(IF(OR(INDEX(BIZ_DAYS,WEEKDAY(D131,2))="×",COUNTIF(HOLIDAYS,D131)&gt;0),"休業日",IF(J131&lt;MIN_ALL,"要確認","OK")),"日付を確認"))</f>
        <v/>
      </c>
      <c r="L131" s="29">
        <f>IF(AND(G131="承認",C131&lt;&gt;"",D131&lt;&gt;""),C131&amp;"|"&amp;TEXT(D131,"yyyymmdd"),"")</f>
        <v/>
      </c>
      <c r="M131" s="29">
        <f>IF(AND(G131="申請中",C131&lt;&gt;"",D131&lt;&gt;""),C131&amp;"|"&amp;TEXT(D131,"yyyymmdd"),"")</f>
        <v/>
      </c>
    </row>
    <row r="132">
      <c r="B132" s="32" t="n"/>
      <c r="C132" s="33" t="n"/>
      <c r="D132" s="32" t="n"/>
      <c r="E132" s="34" t="n"/>
      <c r="F132" s="33" t="n"/>
      <c r="G132" s="34" t="n"/>
      <c r="H132" s="33" t="n"/>
      <c r="I132" s="22">
        <f>IF(D132="","",COUNTIFS(LOG_DATE,D132,LOG_STATE,"承認")+COUNTIFS(LOG_DATE,D132,LOG_STATE,"申請中")-IF(G132="却下",0,1))</f>
        <v/>
      </c>
      <c r="J132" s="22">
        <f>IF(D132="","",IFERROR(SUMPRODUCT((INDEX(STAFF_DAYS,0,WEEKDAY(D132,2))="○")*1)-I132-IF(G132="却下",0,1),"日付を確認"))</f>
        <v/>
      </c>
      <c r="K132" s="27">
        <f>IF(D132="","",IFERROR(IF(OR(INDEX(BIZ_DAYS,WEEKDAY(D132,2))="×",COUNTIF(HOLIDAYS,D132)&gt;0),"休業日",IF(J132&lt;MIN_ALL,"要確認","OK")),"日付を確認"))</f>
        <v/>
      </c>
      <c r="L132" s="29">
        <f>IF(AND(G132="承認",C132&lt;&gt;"",D132&lt;&gt;""),C132&amp;"|"&amp;TEXT(D132,"yyyymmdd"),"")</f>
        <v/>
      </c>
      <c r="M132" s="29">
        <f>IF(AND(G132="申請中",C132&lt;&gt;"",D132&lt;&gt;""),C132&amp;"|"&amp;TEXT(D132,"yyyymmdd"),"")</f>
        <v/>
      </c>
    </row>
    <row r="133">
      <c r="B133" s="32" t="n"/>
      <c r="C133" s="33" t="n"/>
      <c r="D133" s="32" t="n"/>
      <c r="E133" s="34" t="n"/>
      <c r="F133" s="33" t="n"/>
      <c r="G133" s="34" t="n"/>
      <c r="H133" s="33" t="n"/>
      <c r="I133" s="22">
        <f>IF(D133="","",COUNTIFS(LOG_DATE,D133,LOG_STATE,"承認")+COUNTIFS(LOG_DATE,D133,LOG_STATE,"申請中")-IF(G133="却下",0,1))</f>
        <v/>
      </c>
      <c r="J133" s="22">
        <f>IF(D133="","",IFERROR(SUMPRODUCT((INDEX(STAFF_DAYS,0,WEEKDAY(D133,2))="○")*1)-I133-IF(G133="却下",0,1),"日付を確認"))</f>
        <v/>
      </c>
      <c r="K133" s="27">
        <f>IF(D133="","",IFERROR(IF(OR(INDEX(BIZ_DAYS,WEEKDAY(D133,2))="×",COUNTIF(HOLIDAYS,D133)&gt;0),"休業日",IF(J133&lt;MIN_ALL,"要確認","OK")),"日付を確認"))</f>
        <v/>
      </c>
      <c r="L133" s="29">
        <f>IF(AND(G133="承認",C133&lt;&gt;"",D133&lt;&gt;""),C133&amp;"|"&amp;TEXT(D133,"yyyymmdd"),"")</f>
        <v/>
      </c>
      <c r="M133" s="29">
        <f>IF(AND(G133="申請中",C133&lt;&gt;"",D133&lt;&gt;""),C133&amp;"|"&amp;TEXT(D133,"yyyymmdd"),"")</f>
        <v/>
      </c>
    </row>
    <row r="134">
      <c r="B134" s="32" t="n"/>
      <c r="C134" s="33" t="n"/>
      <c r="D134" s="32" t="n"/>
      <c r="E134" s="34" t="n"/>
      <c r="F134" s="33" t="n"/>
      <c r="G134" s="34" t="n"/>
      <c r="H134" s="33" t="n"/>
      <c r="I134" s="22">
        <f>IF(D134="","",COUNTIFS(LOG_DATE,D134,LOG_STATE,"承認")+COUNTIFS(LOG_DATE,D134,LOG_STATE,"申請中")-IF(G134="却下",0,1))</f>
        <v/>
      </c>
      <c r="J134" s="22">
        <f>IF(D134="","",IFERROR(SUMPRODUCT((INDEX(STAFF_DAYS,0,WEEKDAY(D134,2))="○")*1)-I134-IF(G134="却下",0,1),"日付を確認"))</f>
        <v/>
      </c>
      <c r="K134" s="27">
        <f>IF(D134="","",IFERROR(IF(OR(INDEX(BIZ_DAYS,WEEKDAY(D134,2))="×",COUNTIF(HOLIDAYS,D134)&gt;0),"休業日",IF(J134&lt;MIN_ALL,"要確認","OK")),"日付を確認"))</f>
        <v/>
      </c>
      <c r="L134" s="29">
        <f>IF(AND(G134="承認",C134&lt;&gt;"",D134&lt;&gt;""),C134&amp;"|"&amp;TEXT(D134,"yyyymmdd"),"")</f>
        <v/>
      </c>
      <c r="M134" s="29">
        <f>IF(AND(G134="申請中",C134&lt;&gt;"",D134&lt;&gt;""),C134&amp;"|"&amp;TEXT(D134,"yyyymmdd"),"")</f>
        <v/>
      </c>
    </row>
    <row r="135">
      <c r="B135" s="32" t="n"/>
      <c r="C135" s="33" t="n"/>
      <c r="D135" s="32" t="n"/>
      <c r="E135" s="34" t="n"/>
      <c r="F135" s="33" t="n"/>
      <c r="G135" s="34" t="n"/>
      <c r="H135" s="33" t="n"/>
      <c r="I135" s="22">
        <f>IF(D135="","",COUNTIFS(LOG_DATE,D135,LOG_STATE,"承認")+COUNTIFS(LOG_DATE,D135,LOG_STATE,"申請中")-IF(G135="却下",0,1))</f>
        <v/>
      </c>
      <c r="J135" s="22">
        <f>IF(D135="","",IFERROR(SUMPRODUCT((INDEX(STAFF_DAYS,0,WEEKDAY(D135,2))="○")*1)-I135-IF(G135="却下",0,1),"日付を確認"))</f>
        <v/>
      </c>
      <c r="K135" s="27">
        <f>IF(D135="","",IFERROR(IF(OR(INDEX(BIZ_DAYS,WEEKDAY(D135,2))="×",COUNTIF(HOLIDAYS,D135)&gt;0),"休業日",IF(J135&lt;MIN_ALL,"要確認","OK")),"日付を確認"))</f>
        <v/>
      </c>
      <c r="L135" s="29">
        <f>IF(AND(G135="承認",C135&lt;&gt;"",D135&lt;&gt;""),C135&amp;"|"&amp;TEXT(D135,"yyyymmdd"),"")</f>
        <v/>
      </c>
      <c r="M135" s="29">
        <f>IF(AND(G135="申請中",C135&lt;&gt;"",D135&lt;&gt;""),C135&amp;"|"&amp;TEXT(D135,"yyyymmdd"),"")</f>
        <v/>
      </c>
    </row>
    <row r="136">
      <c r="B136" s="32" t="n"/>
      <c r="C136" s="33" t="n"/>
      <c r="D136" s="32" t="n"/>
      <c r="E136" s="34" t="n"/>
      <c r="F136" s="33" t="n"/>
      <c r="G136" s="34" t="n"/>
      <c r="H136" s="33" t="n"/>
      <c r="I136" s="22">
        <f>IF(D136="","",COUNTIFS(LOG_DATE,D136,LOG_STATE,"承認")+COUNTIFS(LOG_DATE,D136,LOG_STATE,"申請中")-IF(G136="却下",0,1))</f>
        <v/>
      </c>
      <c r="J136" s="22">
        <f>IF(D136="","",IFERROR(SUMPRODUCT((INDEX(STAFF_DAYS,0,WEEKDAY(D136,2))="○")*1)-I136-IF(G136="却下",0,1),"日付を確認"))</f>
        <v/>
      </c>
      <c r="K136" s="27">
        <f>IF(D136="","",IFERROR(IF(OR(INDEX(BIZ_DAYS,WEEKDAY(D136,2))="×",COUNTIF(HOLIDAYS,D136)&gt;0),"休業日",IF(J136&lt;MIN_ALL,"要確認","OK")),"日付を確認"))</f>
        <v/>
      </c>
      <c r="L136" s="29">
        <f>IF(AND(G136="承認",C136&lt;&gt;"",D136&lt;&gt;""),C136&amp;"|"&amp;TEXT(D136,"yyyymmdd"),"")</f>
        <v/>
      </c>
      <c r="M136" s="29">
        <f>IF(AND(G136="申請中",C136&lt;&gt;"",D136&lt;&gt;""),C136&amp;"|"&amp;TEXT(D136,"yyyymmdd"),"")</f>
        <v/>
      </c>
    </row>
    <row r="137">
      <c r="B137" s="32" t="n"/>
      <c r="C137" s="33" t="n"/>
      <c r="D137" s="32" t="n"/>
      <c r="E137" s="34" t="n"/>
      <c r="F137" s="33" t="n"/>
      <c r="G137" s="34" t="n"/>
      <c r="H137" s="33" t="n"/>
      <c r="I137" s="22">
        <f>IF(D137="","",COUNTIFS(LOG_DATE,D137,LOG_STATE,"承認")+COUNTIFS(LOG_DATE,D137,LOG_STATE,"申請中")-IF(G137="却下",0,1))</f>
        <v/>
      </c>
      <c r="J137" s="22">
        <f>IF(D137="","",IFERROR(SUMPRODUCT((INDEX(STAFF_DAYS,0,WEEKDAY(D137,2))="○")*1)-I137-IF(G137="却下",0,1),"日付を確認"))</f>
        <v/>
      </c>
      <c r="K137" s="27">
        <f>IF(D137="","",IFERROR(IF(OR(INDEX(BIZ_DAYS,WEEKDAY(D137,2))="×",COUNTIF(HOLIDAYS,D137)&gt;0),"休業日",IF(J137&lt;MIN_ALL,"要確認","OK")),"日付を確認"))</f>
        <v/>
      </c>
      <c r="L137" s="29">
        <f>IF(AND(G137="承認",C137&lt;&gt;"",D137&lt;&gt;""),C137&amp;"|"&amp;TEXT(D137,"yyyymmdd"),"")</f>
        <v/>
      </c>
      <c r="M137" s="29">
        <f>IF(AND(G137="申請中",C137&lt;&gt;"",D137&lt;&gt;""),C137&amp;"|"&amp;TEXT(D137,"yyyymmdd"),"")</f>
        <v/>
      </c>
    </row>
    <row r="138">
      <c r="B138" s="32" t="n"/>
      <c r="C138" s="33" t="n"/>
      <c r="D138" s="32" t="n"/>
      <c r="E138" s="34" t="n"/>
      <c r="F138" s="33" t="n"/>
      <c r="G138" s="34" t="n"/>
      <c r="H138" s="33" t="n"/>
      <c r="I138" s="22">
        <f>IF(D138="","",COUNTIFS(LOG_DATE,D138,LOG_STATE,"承認")+COUNTIFS(LOG_DATE,D138,LOG_STATE,"申請中")-IF(G138="却下",0,1))</f>
        <v/>
      </c>
      <c r="J138" s="22">
        <f>IF(D138="","",IFERROR(SUMPRODUCT((INDEX(STAFF_DAYS,0,WEEKDAY(D138,2))="○")*1)-I138-IF(G138="却下",0,1),"日付を確認"))</f>
        <v/>
      </c>
      <c r="K138" s="27">
        <f>IF(D138="","",IFERROR(IF(OR(INDEX(BIZ_DAYS,WEEKDAY(D138,2))="×",COUNTIF(HOLIDAYS,D138)&gt;0),"休業日",IF(J138&lt;MIN_ALL,"要確認","OK")),"日付を確認"))</f>
        <v/>
      </c>
      <c r="L138" s="29">
        <f>IF(AND(G138="承認",C138&lt;&gt;"",D138&lt;&gt;""),C138&amp;"|"&amp;TEXT(D138,"yyyymmdd"),"")</f>
        <v/>
      </c>
      <c r="M138" s="29">
        <f>IF(AND(G138="申請中",C138&lt;&gt;"",D138&lt;&gt;""),C138&amp;"|"&amp;TEXT(D138,"yyyymmdd"),"")</f>
        <v/>
      </c>
    </row>
    <row r="139">
      <c r="B139" s="32" t="n"/>
      <c r="C139" s="33" t="n"/>
      <c r="D139" s="32" t="n"/>
      <c r="E139" s="34" t="n"/>
      <c r="F139" s="33" t="n"/>
      <c r="G139" s="34" t="n"/>
      <c r="H139" s="33" t="n"/>
      <c r="I139" s="22">
        <f>IF(D139="","",COUNTIFS(LOG_DATE,D139,LOG_STATE,"承認")+COUNTIFS(LOG_DATE,D139,LOG_STATE,"申請中")-IF(G139="却下",0,1))</f>
        <v/>
      </c>
      <c r="J139" s="22">
        <f>IF(D139="","",IFERROR(SUMPRODUCT((INDEX(STAFF_DAYS,0,WEEKDAY(D139,2))="○")*1)-I139-IF(G139="却下",0,1),"日付を確認"))</f>
        <v/>
      </c>
      <c r="K139" s="27">
        <f>IF(D139="","",IFERROR(IF(OR(INDEX(BIZ_DAYS,WEEKDAY(D139,2))="×",COUNTIF(HOLIDAYS,D139)&gt;0),"休業日",IF(J139&lt;MIN_ALL,"要確認","OK")),"日付を確認"))</f>
        <v/>
      </c>
      <c r="L139" s="29">
        <f>IF(AND(G139="承認",C139&lt;&gt;"",D139&lt;&gt;""),C139&amp;"|"&amp;TEXT(D139,"yyyymmdd"),"")</f>
        <v/>
      </c>
      <c r="M139" s="29">
        <f>IF(AND(G139="申請中",C139&lt;&gt;"",D139&lt;&gt;""),C139&amp;"|"&amp;TEXT(D139,"yyyymmdd"),"")</f>
        <v/>
      </c>
    </row>
    <row r="140">
      <c r="B140" s="32" t="n"/>
      <c r="C140" s="33" t="n"/>
      <c r="D140" s="32" t="n"/>
      <c r="E140" s="34" t="n"/>
      <c r="F140" s="33" t="n"/>
      <c r="G140" s="34" t="n"/>
      <c r="H140" s="33" t="n"/>
      <c r="I140" s="22">
        <f>IF(D140="","",COUNTIFS(LOG_DATE,D140,LOG_STATE,"承認")+COUNTIFS(LOG_DATE,D140,LOG_STATE,"申請中")-IF(G140="却下",0,1))</f>
        <v/>
      </c>
      <c r="J140" s="22">
        <f>IF(D140="","",IFERROR(SUMPRODUCT((INDEX(STAFF_DAYS,0,WEEKDAY(D140,2))="○")*1)-I140-IF(G140="却下",0,1),"日付を確認"))</f>
        <v/>
      </c>
      <c r="K140" s="27">
        <f>IF(D140="","",IFERROR(IF(OR(INDEX(BIZ_DAYS,WEEKDAY(D140,2))="×",COUNTIF(HOLIDAYS,D140)&gt;0),"休業日",IF(J140&lt;MIN_ALL,"要確認","OK")),"日付を確認"))</f>
        <v/>
      </c>
      <c r="L140" s="29">
        <f>IF(AND(G140="承認",C140&lt;&gt;"",D140&lt;&gt;""),C140&amp;"|"&amp;TEXT(D140,"yyyymmdd"),"")</f>
        <v/>
      </c>
      <c r="M140" s="29">
        <f>IF(AND(G140="申請中",C140&lt;&gt;"",D140&lt;&gt;""),C140&amp;"|"&amp;TEXT(D140,"yyyymmdd"),"")</f>
        <v/>
      </c>
    </row>
    <row r="141">
      <c r="B141" s="32" t="n"/>
      <c r="C141" s="33" t="n"/>
      <c r="D141" s="32" t="n"/>
      <c r="E141" s="34" t="n"/>
      <c r="F141" s="33" t="n"/>
      <c r="G141" s="34" t="n"/>
      <c r="H141" s="33" t="n"/>
      <c r="I141" s="22">
        <f>IF(D141="","",COUNTIFS(LOG_DATE,D141,LOG_STATE,"承認")+COUNTIFS(LOG_DATE,D141,LOG_STATE,"申請中")-IF(G141="却下",0,1))</f>
        <v/>
      </c>
      <c r="J141" s="22">
        <f>IF(D141="","",IFERROR(SUMPRODUCT((INDEX(STAFF_DAYS,0,WEEKDAY(D141,2))="○")*1)-I141-IF(G141="却下",0,1),"日付を確認"))</f>
        <v/>
      </c>
      <c r="K141" s="27">
        <f>IF(D141="","",IFERROR(IF(OR(INDEX(BIZ_DAYS,WEEKDAY(D141,2))="×",COUNTIF(HOLIDAYS,D141)&gt;0),"休業日",IF(J141&lt;MIN_ALL,"要確認","OK")),"日付を確認"))</f>
        <v/>
      </c>
      <c r="L141" s="29">
        <f>IF(AND(G141="承認",C141&lt;&gt;"",D141&lt;&gt;""),C141&amp;"|"&amp;TEXT(D141,"yyyymmdd"),"")</f>
        <v/>
      </c>
      <c r="M141" s="29">
        <f>IF(AND(G141="申請中",C141&lt;&gt;"",D141&lt;&gt;""),C141&amp;"|"&amp;TEXT(D141,"yyyymmdd"),"")</f>
        <v/>
      </c>
    </row>
    <row r="142">
      <c r="B142" s="32" t="n"/>
      <c r="C142" s="33" t="n"/>
      <c r="D142" s="32" t="n"/>
      <c r="E142" s="34" t="n"/>
      <c r="F142" s="33" t="n"/>
      <c r="G142" s="34" t="n"/>
      <c r="H142" s="33" t="n"/>
      <c r="I142" s="22">
        <f>IF(D142="","",COUNTIFS(LOG_DATE,D142,LOG_STATE,"承認")+COUNTIFS(LOG_DATE,D142,LOG_STATE,"申請中")-IF(G142="却下",0,1))</f>
        <v/>
      </c>
      <c r="J142" s="22">
        <f>IF(D142="","",IFERROR(SUMPRODUCT((INDEX(STAFF_DAYS,0,WEEKDAY(D142,2))="○")*1)-I142-IF(G142="却下",0,1),"日付を確認"))</f>
        <v/>
      </c>
      <c r="K142" s="27">
        <f>IF(D142="","",IFERROR(IF(OR(INDEX(BIZ_DAYS,WEEKDAY(D142,2))="×",COUNTIF(HOLIDAYS,D142)&gt;0),"休業日",IF(J142&lt;MIN_ALL,"要確認","OK")),"日付を確認"))</f>
        <v/>
      </c>
      <c r="L142" s="29">
        <f>IF(AND(G142="承認",C142&lt;&gt;"",D142&lt;&gt;""),C142&amp;"|"&amp;TEXT(D142,"yyyymmdd"),"")</f>
        <v/>
      </c>
      <c r="M142" s="29">
        <f>IF(AND(G142="申請中",C142&lt;&gt;"",D142&lt;&gt;""),C142&amp;"|"&amp;TEXT(D142,"yyyymmdd"),"")</f>
        <v/>
      </c>
    </row>
    <row r="143">
      <c r="B143" s="32" t="n"/>
      <c r="C143" s="33" t="n"/>
      <c r="D143" s="32" t="n"/>
      <c r="E143" s="34" t="n"/>
      <c r="F143" s="33" t="n"/>
      <c r="G143" s="34" t="n"/>
      <c r="H143" s="33" t="n"/>
      <c r="I143" s="22">
        <f>IF(D143="","",COUNTIFS(LOG_DATE,D143,LOG_STATE,"承認")+COUNTIFS(LOG_DATE,D143,LOG_STATE,"申請中")-IF(G143="却下",0,1))</f>
        <v/>
      </c>
      <c r="J143" s="22">
        <f>IF(D143="","",IFERROR(SUMPRODUCT((INDEX(STAFF_DAYS,0,WEEKDAY(D143,2))="○")*1)-I143-IF(G143="却下",0,1),"日付を確認"))</f>
        <v/>
      </c>
      <c r="K143" s="27">
        <f>IF(D143="","",IFERROR(IF(OR(INDEX(BIZ_DAYS,WEEKDAY(D143,2))="×",COUNTIF(HOLIDAYS,D143)&gt;0),"休業日",IF(J143&lt;MIN_ALL,"要確認","OK")),"日付を確認"))</f>
        <v/>
      </c>
      <c r="L143" s="29">
        <f>IF(AND(G143="承認",C143&lt;&gt;"",D143&lt;&gt;""),C143&amp;"|"&amp;TEXT(D143,"yyyymmdd"),"")</f>
        <v/>
      </c>
      <c r="M143" s="29">
        <f>IF(AND(G143="申請中",C143&lt;&gt;"",D143&lt;&gt;""),C143&amp;"|"&amp;TEXT(D143,"yyyymmdd"),"")</f>
        <v/>
      </c>
    </row>
    <row r="144">
      <c r="B144" s="32" t="n"/>
      <c r="C144" s="33" t="n"/>
      <c r="D144" s="32" t="n"/>
      <c r="E144" s="34" t="n"/>
      <c r="F144" s="33" t="n"/>
      <c r="G144" s="34" t="n"/>
      <c r="H144" s="33" t="n"/>
      <c r="I144" s="22">
        <f>IF(D144="","",COUNTIFS(LOG_DATE,D144,LOG_STATE,"承認")+COUNTIFS(LOG_DATE,D144,LOG_STATE,"申請中")-IF(G144="却下",0,1))</f>
        <v/>
      </c>
      <c r="J144" s="22">
        <f>IF(D144="","",IFERROR(SUMPRODUCT((INDEX(STAFF_DAYS,0,WEEKDAY(D144,2))="○")*1)-I144-IF(G144="却下",0,1),"日付を確認"))</f>
        <v/>
      </c>
      <c r="K144" s="27">
        <f>IF(D144="","",IFERROR(IF(OR(INDEX(BIZ_DAYS,WEEKDAY(D144,2))="×",COUNTIF(HOLIDAYS,D144)&gt;0),"休業日",IF(J144&lt;MIN_ALL,"要確認","OK")),"日付を確認"))</f>
        <v/>
      </c>
      <c r="L144" s="29">
        <f>IF(AND(G144="承認",C144&lt;&gt;"",D144&lt;&gt;""),C144&amp;"|"&amp;TEXT(D144,"yyyymmdd"),"")</f>
        <v/>
      </c>
      <c r="M144" s="29">
        <f>IF(AND(G144="申請中",C144&lt;&gt;"",D144&lt;&gt;""),C144&amp;"|"&amp;TEXT(D144,"yyyymmdd"),"")</f>
        <v/>
      </c>
    </row>
    <row r="145">
      <c r="B145" s="32" t="n"/>
      <c r="C145" s="33" t="n"/>
      <c r="D145" s="32" t="n"/>
      <c r="E145" s="34" t="n"/>
      <c r="F145" s="33" t="n"/>
      <c r="G145" s="34" t="n"/>
      <c r="H145" s="33" t="n"/>
      <c r="I145" s="22">
        <f>IF(D145="","",COUNTIFS(LOG_DATE,D145,LOG_STATE,"承認")+COUNTIFS(LOG_DATE,D145,LOG_STATE,"申請中")-IF(G145="却下",0,1))</f>
        <v/>
      </c>
      <c r="J145" s="22">
        <f>IF(D145="","",IFERROR(SUMPRODUCT((INDEX(STAFF_DAYS,0,WEEKDAY(D145,2))="○")*1)-I145-IF(G145="却下",0,1),"日付を確認"))</f>
        <v/>
      </c>
      <c r="K145" s="27">
        <f>IF(D145="","",IFERROR(IF(OR(INDEX(BIZ_DAYS,WEEKDAY(D145,2))="×",COUNTIF(HOLIDAYS,D145)&gt;0),"休業日",IF(J145&lt;MIN_ALL,"要確認","OK")),"日付を確認"))</f>
        <v/>
      </c>
      <c r="L145" s="29">
        <f>IF(AND(G145="承認",C145&lt;&gt;"",D145&lt;&gt;""),C145&amp;"|"&amp;TEXT(D145,"yyyymmdd"),"")</f>
        <v/>
      </c>
      <c r="M145" s="29">
        <f>IF(AND(G145="申請中",C145&lt;&gt;"",D145&lt;&gt;""),C145&amp;"|"&amp;TEXT(D145,"yyyymmdd"),"")</f>
        <v/>
      </c>
    </row>
    <row r="146">
      <c r="B146" s="32" t="n"/>
      <c r="C146" s="33" t="n"/>
      <c r="D146" s="32" t="n"/>
      <c r="E146" s="34" t="n"/>
      <c r="F146" s="33" t="n"/>
      <c r="G146" s="34" t="n"/>
      <c r="H146" s="33" t="n"/>
      <c r="I146" s="22">
        <f>IF(D146="","",COUNTIFS(LOG_DATE,D146,LOG_STATE,"承認")+COUNTIFS(LOG_DATE,D146,LOG_STATE,"申請中")-IF(G146="却下",0,1))</f>
        <v/>
      </c>
      <c r="J146" s="22">
        <f>IF(D146="","",IFERROR(SUMPRODUCT((INDEX(STAFF_DAYS,0,WEEKDAY(D146,2))="○")*1)-I146-IF(G146="却下",0,1),"日付を確認"))</f>
        <v/>
      </c>
      <c r="K146" s="27">
        <f>IF(D146="","",IFERROR(IF(OR(INDEX(BIZ_DAYS,WEEKDAY(D146,2))="×",COUNTIF(HOLIDAYS,D146)&gt;0),"休業日",IF(J146&lt;MIN_ALL,"要確認","OK")),"日付を確認"))</f>
        <v/>
      </c>
      <c r="L146" s="29">
        <f>IF(AND(G146="承認",C146&lt;&gt;"",D146&lt;&gt;""),C146&amp;"|"&amp;TEXT(D146,"yyyymmdd"),"")</f>
        <v/>
      </c>
      <c r="M146" s="29">
        <f>IF(AND(G146="申請中",C146&lt;&gt;"",D146&lt;&gt;""),C146&amp;"|"&amp;TEXT(D146,"yyyymmdd"),"")</f>
        <v/>
      </c>
    </row>
    <row r="147">
      <c r="B147" s="32" t="n"/>
      <c r="C147" s="33" t="n"/>
      <c r="D147" s="32" t="n"/>
      <c r="E147" s="34" t="n"/>
      <c r="F147" s="33" t="n"/>
      <c r="G147" s="34" t="n"/>
      <c r="H147" s="33" t="n"/>
      <c r="I147" s="22">
        <f>IF(D147="","",COUNTIFS(LOG_DATE,D147,LOG_STATE,"承認")+COUNTIFS(LOG_DATE,D147,LOG_STATE,"申請中")-IF(G147="却下",0,1))</f>
        <v/>
      </c>
      <c r="J147" s="22">
        <f>IF(D147="","",IFERROR(SUMPRODUCT((INDEX(STAFF_DAYS,0,WEEKDAY(D147,2))="○")*1)-I147-IF(G147="却下",0,1),"日付を確認"))</f>
        <v/>
      </c>
      <c r="K147" s="27">
        <f>IF(D147="","",IFERROR(IF(OR(INDEX(BIZ_DAYS,WEEKDAY(D147,2))="×",COUNTIF(HOLIDAYS,D147)&gt;0),"休業日",IF(J147&lt;MIN_ALL,"要確認","OK")),"日付を確認"))</f>
        <v/>
      </c>
      <c r="L147" s="29">
        <f>IF(AND(G147="承認",C147&lt;&gt;"",D147&lt;&gt;""),C147&amp;"|"&amp;TEXT(D147,"yyyymmdd"),"")</f>
        <v/>
      </c>
      <c r="M147" s="29">
        <f>IF(AND(G147="申請中",C147&lt;&gt;"",D147&lt;&gt;""),C147&amp;"|"&amp;TEXT(D147,"yyyymmdd"),"")</f>
        <v/>
      </c>
    </row>
    <row r="148">
      <c r="B148" s="32" t="n"/>
      <c r="C148" s="33" t="n"/>
      <c r="D148" s="32" t="n"/>
      <c r="E148" s="34" t="n"/>
      <c r="F148" s="33" t="n"/>
      <c r="G148" s="34" t="n"/>
      <c r="H148" s="33" t="n"/>
      <c r="I148" s="22">
        <f>IF(D148="","",COUNTIFS(LOG_DATE,D148,LOG_STATE,"承認")+COUNTIFS(LOG_DATE,D148,LOG_STATE,"申請中")-IF(G148="却下",0,1))</f>
        <v/>
      </c>
      <c r="J148" s="22">
        <f>IF(D148="","",IFERROR(SUMPRODUCT((INDEX(STAFF_DAYS,0,WEEKDAY(D148,2))="○")*1)-I148-IF(G148="却下",0,1),"日付を確認"))</f>
        <v/>
      </c>
      <c r="K148" s="27">
        <f>IF(D148="","",IFERROR(IF(OR(INDEX(BIZ_DAYS,WEEKDAY(D148,2))="×",COUNTIF(HOLIDAYS,D148)&gt;0),"休業日",IF(J148&lt;MIN_ALL,"要確認","OK")),"日付を確認"))</f>
        <v/>
      </c>
      <c r="L148" s="29">
        <f>IF(AND(G148="承認",C148&lt;&gt;"",D148&lt;&gt;""),C148&amp;"|"&amp;TEXT(D148,"yyyymmdd"),"")</f>
        <v/>
      </c>
      <c r="M148" s="29">
        <f>IF(AND(G148="申請中",C148&lt;&gt;"",D148&lt;&gt;""),C148&amp;"|"&amp;TEXT(D148,"yyyymmdd"),"")</f>
        <v/>
      </c>
    </row>
    <row r="149">
      <c r="B149" s="32" t="n"/>
      <c r="C149" s="33" t="n"/>
      <c r="D149" s="32" t="n"/>
      <c r="E149" s="34" t="n"/>
      <c r="F149" s="33" t="n"/>
      <c r="G149" s="34" t="n"/>
      <c r="H149" s="33" t="n"/>
      <c r="I149" s="22">
        <f>IF(D149="","",COUNTIFS(LOG_DATE,D149,LOG_STATE,"承認")+COUNTIFS(LOG_DATE,D149,LOG_STATE,"申請中")-IF(G149="却下",0,1))</f>
        <v/>
      </c>
      <c r="J149" s="22">
        <f>IF(D149="","",IFERROR(SUMPRODUCT((INDEX(STAFF_DAYS,0,WEEKDAY(D149,2))="○")*1)-I149-IF(G149="却下",0,1),"日付を確認"))</f>
        <v/>
      </c>
      <c r="K149" s="27">
        <f>IF(D149="","",IFERROR(IF(OR(INDEX(BIZ_DAYS,WEEKDAY(D149,2))="×",COUNTIF(HOLIDAYS,D149)&gt;0),"休業日",IF(J149&lt;MIN_ALL,"要確認","OK")),"日付を確認"))</f>
        <v/>
      </c>
      <c r="L149" s="29">
        <f>IF(AND(G149="承認",C149&lt;&gt;"",D149&lt;&gt;""),C149&amp;"|"&amp;TEXT(D149,"yyyymmdd"),"")</f>
        <v/>
      </c>
      <c r="M149" s="29">
        <f>IF(AND(G149="申請中",C149&lt;&gt;"",D149&lt;&gt;""),C149&amp;"|"&amp;TEXT(D149,"yyyymmdd"),"")</f>
        <v/>
      </c>
    </row>
    <row r="150">
      <c r="B150" s="32" t="n"/>
      <c r="C150" s="33" t="n"/>
      <c r="D150" s="32" t="n"/>
      <c r="E150" s="34" t="n"/>
      <c r="F150" s="33" t="n"/>
      <c r="G150" s="34" t="n"/>
      <c r="H150" s="33" t="n"/>
      <c r="I150" s="22">
        <f>IF(D150="","",COUNTIFS(LOG_DATE,D150,LOG_STATE,"承認")+COUNTIFS(LOG_DATE,D150,LOG_STATE,"申請中")-IF(G150="却下",0,1))</f>
        <v/>
      </c>
      <c r="J150" s="22">
        <f>IF(D150="","",IFERROR(SUMPRODUCT((INDEX(STAFF_DAYS,0,WEEKDAY(D150,2))="○")*1)-I150-IF(G150="却下",0,1),"日付を確認"))</f>
        <v/>
      </c>
      <c r="K150" s="27">
        <f>IF(D150="","",IFERROR(IF(OR(INDEX(BIZ_DAYS,WEEKDAY(D150,2))="×",COUNTIF(HOLIDAYS,D150)&gt;0),"休業日",IF(J150&lt;MIN_ALL,"要確認","OK")),"日付を確認"))</f>
        <v/>
      </c>
      <c r="L150" s="29">
        <f>IF(AND(G150="承認",C150&lt;&gt;"",D150&lt;&gt;""),C150&amp;"|"&amp;TEXT(D150,"yyyymmdd"),"")</f>
        <v/>
      </c>
      <c r="M150" s="29">
        <f>IF(AND(G150="申請中",C150&lt;&gt;"",D150&lt;&gt;""),C150&amp;"|"&amp;TEXT(D150,"yyyymmdd"),"")</f>
        <v/>
      </c>
    </row>
    <row r="151">
      <c r="B151" s="32" t="n"/>
      <c r="C151" s="33" t="n"/>
      <c r="D151" s="32" t="n"/>
      <c r="E151" s="34" t="n"/>
      <c r="F151" s="33" t="n"/>
      <c r="G151" s="34" t="n"/>
      <c r="H151" s="33" t="n"/>
      <c r="I151" s="22">
        <f>IF(D151="","",COUNTIFS(LOG_DATE,D151,LOG_STATE,"承認")+COUNTIFS(LOG_DATE,D151,LOG_STATE,"申請中")-IF(G151="却下",0,1))</f>
        <v/>
      </c>
      <c r="J151" s="22">
        <f>IF(D151="","",IFERROR(SUMPRODUCT((INDEX(STAFF_DAYS,0,WEEKDAY(D151,2))="○")*1)-I151-IF(G151="却下",0,1),"日付を確認"))</f>
        <v/>
      </c>
      <c r="K151" s="27">
        <f>IF(D151="","",IFERROR(IF(OR(INDEX(BIZ_DAYS,WEEKDAY(D151,2))="×",COUNTIF(HOLIDAYS,D151)&gt;0),"休業日",IF(J151&lt;MIN_ALL,"要確認","OK")),"日付を確認"))</f>
        <v/>
      </c>
      <c r="L151" s="29">
        <f>IF(AND(G151="承認",C151&lt;&gt;"",D151&lt;&gt;""),C151&amp;"|"&amp;TEXT(D151,"yyyymmdd"),"")</f>
        <v/>
      </c>
      <c r="M151" s="29">
        <f>IF(AND(G151="申請中",C151&lt;&gt;"",D151&lt;&gt;""),C151&amp;"|"&amp;TEXT(D151,"yyyymmdd"),"")</f>
        <v/>
      </c>
    </row>
    <row r="152">
      <c r="B152" s="32" t="n"/>
      <c r="C152" s="33" t="n"/>
      <c r="D152" s="32" t="n"/>
      <c r="E152" s="34" t="n"/>
      <c r="F152" s="33" t="n"/>
      <c r="G152" s="34" t="n"/>
      <c r="H152" s="33" t="n"/>
      <c r="I152" s="22">
        <f>IF(D152="","",COUNTIFS(LOG_DATE,D152,LOG_STATE,"承認")+COUNTIFS(LOG_DATE,D152,LOG_STATE,"申請中")-IF(G152="却下",0,1))</f>
        <v/>
      </c>
      <c r="J152" s="22">
        <f>IF(D152="","",IFERROR(SUMPRODUCT((INDEX(STAFF_DAYS,0,WEEKDAY(D152,2))="○")*1)-I152-IF(G152="却下",0,1),"日付を確認"))</f>
        <v/>
      </c>
      <c r="K152" s="27">
        <f>IF(D152="","",IFERROR(IF(OR(INDEX(BIZ_DAYS,WEEKDAY(D152,2))="×",COUNTIF(HOLIDAYS,D152)&gt;0),"休業日",IF(J152&lt;MIN_ALL,"要確認","OK")),"日付を確認"))</f>
        <v/>
      </c>
      <c r="L152" s="29">
        <f>IF(AND(G152="承認",C152&lt;&gt;"",D152&lt;&gt;""),C152&amp;"|"&amp;TEXT(D152,"yyyymmdd"),"")</f>
        <v/>
      </c>
      <c r="M152" s="29">
        <f>IF(AND(G152="申請中",C152&lt;&gt;"",D152&lt;&gt;""),C152&amp;"|"&amp;TEXT(D152,"yyyymmdd"),"")</f>
        <v/>
      </c>
    </row>
    <row r="153">
      <c r="B153" s="32" t="n"/>
      <c r="C153" s="33" t="n"/>
      <c r="D153" s="32" t="n"/>
      <c r="E153" s="34" t="n"/>
      <c r="F153" s="33" t="n"/>
      <c r="G153" s="34" t="n"/>
      <c r="H153" s="33" t="n"/>
      <c r="I153" s="22">
        <f>IF(D153="","",COUNTIFS(LOG_DATE,D153,LOG_STATE,"承認")+COUNTIFS(LOG_DATE,D153,LOG_STATE,"申請中")-IF(G153="却下",0,1))</f>
        <v/>
      </c>
      <c r="J153" s="22">
        <f>IF(D153="","",IFERROR(SUMPRODUCT((INDEX(STAFF_DAYS,0,WEEKDAY(D153,2))="○")*1)-I153-IF(G153="却下",0,1),"日付を確認"))</f>
        <v/>
      </c>
      <c r="K153" s="27">
        <f>IF(D153="","",IFERROR(IF(OR(INDEX(BIZ_DAYS,WEEKDAY(D153,2))="×",COUNTIF(HOLIDAYS,D153)&gt;0),"休業日",IF(J153&lt;MIN_ALL,"要確認","OK")),"日付を確認"))</f>
        <v/>
      </c>
      <c r="L153" s="29">
        <f>IF(AND(G153="承認",C153&lt;&gt;"",D153&lt;&gt;""),C153&amp;"|"&amp;TEXT(D153,"yyyymmdd"),"")</f>
        <v/>
      </c>
      <c r="M153" s="29">
        <f>IF(AND(G153="申請中",C153&lt;&gt;"",D153&lt;&gt;""),C153&amp;"|"&amp;TEXT(D153,"yyyymmdd"),"")</f>
        <v/>
      </c>
    </row>
    <row r="154">
      <c r="B154" s="32" t="n"/>
      <c r="C154" s="33" t="n"/>
      <c r="D154" s="32" t="n"/>
      <c r="E154" s="34" t="n"/>
      <c r="F154" s="33" t="n"/>
      <c r="G154" s="34" t="n"/>
      <c r="H154" s="33" t="n"/>
      <c r="I154" s="22">
        <f>IF(D154="","",COUNTIFS(LOG_DATE,D154,LOG_STATE,"承認")+COUNTIFS(LOG_DATE,D154,LOG_STATE,"申請中")-IF(G154="却下",0,1))</f>
        <v/>
      </c>
      <c r="J154" s="22">
        <f>IF(D154="","",IFERROR(SUMPRODUCT((INDEX(STAFF_DAYS,0,WEEKDAY(D154,2))="○")*1)-I154-IF(G154="却下",0,1),"日付を確認"))</f>
        <v/>
      </c>
      <c r="K154" s="27">
        <f>IF(D154="","",IFERROR(IF(OR(INDEX(BIZ_DAYS,WEEKDAY(D154,2))="×",COUNTIF(HOLIDAYS,D154)&gt;0),"休業日",IF(J154&lt;MIN_ALL,"要確認","OK")),"日付を確認"))</f>
        <v/>
      </c>
      <c r="L154" s="29">
        <f>IF(AND(G154="承認",C154&lt;&gt;"",D154&lt;&gt;""),C154&amp;"|"&amp;TEXT(D154,"yyyymmdd"),"")</f>
        <v/>
      </c>
      <c r="M154" s="29">
        <f>IF(AND(G154="申請中",C154&lt;&gt;"",D154&lt;&gt;""),C154&amp;"|"&amp;TEXT(D154,"yyyymmdd"),"")</f>
        <v/>
      </c>
    </row>
    <row r="155">
      <c r="B155" s="32" t="n"/>
      <c r="C155" s="33" t="n"/>
      <c r="D155" s="32" t="n"/>
      <c r="E155" s="34" t="n"/>
      <c r="F155" s="33" t="n"/>
      <c r="G155" s="34" t="n"/>
      <c r="H155" s="33" t="n"/>
      <c r="I155" s="22">
        <f>IF(D155="","",COUNTIFS(LOG_DATE,D155,LOG_STATE,"承認")+COUNTIFS(LOG_DATE,D155,LOG_STATE,"申請中")-IF(G155="却下",0,1))</f>
        <v/>
      </c>
      <c r="J155" s="22">
        <f>IF(D155="","",IFERROR(SUMPRODUCT((INDEX(STAFF_DAYS,0,WEEKDAY(D155,2))="○")*1)-I155-IF(G155="却下",0,1),"日付を確認"))</f>
        <v/>
      </c>
      <c r="K155" s="27">
        <f>IF(D155="","",IFERROR(IF(OR(INDEX(BIZ_DAYS,WEEKDAY(D155,2))="×",COUNTIF(HOLIDAYS,D155)&gt;0),"休業日",IF(J155&lt;MIN_ALL,"要確認","OK")),"日付を確認"))</f>
        <v/>
      </c>
      <c r="L155" s="29">
        <f>IF(AND(G155="承認",C155&lt;&gt;"",D155&lt;&gt;""),C155&amp;"|"&amp;TEXT(D155,"yyyymmdd"),"")</f>
        <v/>
      </c>
      <c r="M155" s="29">
        <f>IF(AND(G155="申請中",C155&lt;&gt;"",D155&lt;&gt;""),C155&amp;"|"&amp;TEXT(D155,"yyyymmdd"),"")</f>
        <v/>
      </c>
    </row>
    <row r="156">
      <c r="B156" s="32" t="n"/>
      <c r="C156" s="33" t="n"/>
      <c r="D156" s="32" t="n"/>
      <c r="E156" s="34" t="n"/>
      <c r="F156" s="33" t="n"/>
      <c r="G156" s="34" t="n"/>
      <c r="H156" s="33" t="n"/>
      <c r="I156" s="22">
        <f>IF(D156="","",COUNTIFS(LOG_DATE,D156,LOG_STATE,"承認")+COUNTIFS(LOG_DATE,D156,LOG_STATE,"申請中")-IF(G156="却下",0,1))</f>
        <v/>
      </c>
      <c r="J156" s="22">
        <f>IF(D156="","",IFERROR(SUMPRODUCT((INDEX(STAFF_DAYS,0,WEEKDAY(D156,2))="○")*1)-I156-IF(G156="却下",0,1),"日付を確認"))</f>
        <v/>
      </c>
      <c r="K156" s="27">
        <f>IF(D156="","",IFERROR(IF(OR(INDEX(BIZ_DAYS,WEEKDAY(D156,2))="×",COUNTIF(HOLIDAYS,D156)&gt;0),"休業日",IF(J156&lt;MIN_ALL,"要確認","OK")),"日付を確認"))</f>
        <v/>
      </c>
      <c r="L156" s="29">
        <f>IF(AND(G156="承認",C156&lt;&gt;"",D156&lt;&gt;""),C156&amp;"|"&amp;TEXT(D156,"yyyymmdd"),"")</f>
        <v/>
      </c>
      <c r="M156" s="29">
        <f>IF(AND(G156="申請中",C156&lt;&gt;"",D156&lt;&gt;""),C156&amp;"|"&amp;TEXT(D156,"yyyymmdd"),"")</f>
        <v/>
      </c>
    </row>
    <row r="157">
      <c r="B157" s="32" t="n"/>
      <c r="C157" s="33" t="n"/>
      <c r="D157" s="32" t="n"/>
      <c r="E157" s="34" t="n"/>
      <c r="F157" s="33" t="n"/>
      <c r="G157" s="34" t="n"/>
      <c r="H157" s="33" t="n"/>
      <c r="I157" s="22">
        <f>IF(D157="","",COUNTIFS(LOG_DATE,D157,LOG_STATE,"承認")+COUNTIFS(LOG_DATE,D157,LOG_STATE,"申請中")-IF(G157="却下",0,1))</f>
        <v/>
      </c>
      <c r="J157" s="22">
        <f>IF(D157="","",IFERROR(SUMPRODUCT((INDEX(STAFF_DAYS,0,WEEKDAY(D157,2))="○")*1)-I157-IF(G157="却下",0,1),"日付を確認"))</f>
        <v/>
      </c>
      <c r="K157" s="27">
        <f>IF(D157="","",IFERROR(IF(OR(INDEX(BIZ_DAYS,WEEKDAY(D157,2))="×",COUNTIF(HOLIDAYS,D157)&gt;0),"休業日",IF(J157&lt;MIN_ALL,"要確認","OK")),"日付を確認"))</f>
        <v/>
      </c>
      <c r="L157" s="29">
        <f>IF(AND(G157="承認",C157&lt;&gt;"",D157&lt;&gt;""),C157&amp;"|"&amp;TEXT(D157,"yyyymmdd"),"")</f>
        <v/>
      </c>
      <c r="M157" s="29">
        <f>IF(AND(G157="申請中",C157&lt;&gt;"",D157&lt;&gt;""),C157&amp;"|"&amp;TEXT(D157,"yyyymmdd"),"")</f>
        <v/>
      </c>
    </row>
    <row r="158">
      <c r="B158" s="32" t="n"/>
      <c r="C158" s="33" t="n"/>
      <c r="D158" s="32" t="n"/>
      <c r="E158" s="34" t="n"/>
      <c r="F158" s="33" t="n"/>
      <c r="G158" s="34" t="n"/>
      <c r="H158" s="33" t="n"/>
      <c r="I158" s="22">
        <f>IF(D158="","",COUNTIFS(LOG_DATE,D158,LOG_STATE,"承認")+COUNTIFS(LOG_DATE,D158,LOG_STATE,"申請中")-IF(G158="却下",0,1))</f>
        <v/>
      </c>
      <c r="J158" s="22">
        <f>IF(D158="","",IFERROR(SUMPRODUCT((INDEX(STAFF_DAYS,0,WEEKDAY(D158,2))="○")*1)-I158-IF(G158="却下",0,1),"日付を確認"))</f>
        <v/>
      </c>
      <c r="K158" s="27">
        <f>IF(D158="","",IFERROR(IF(OR(INDEX(BIZ_DAYS,WEEKDAY(D158,2))="×",COUNTIF(HOLIDAYS,D158)&gt;0),"休業日",IF(J158&lt;MIN_ALL,"要確認","OK")),"日付を確認"))</f>
        <v/>
      </c>
      <c r="L158" s="29">
        <f>IF(AND(G158="承認",C158&lt;&gt;"",D158&lt;&gt;""),C158&amp;"|"&amp;TEXT(D158,"yyyymmdd"),"")</f>
        <v/>
      </c>
      <c r="M158" s="29">
        <f>IF(AND(G158="申請中",C158&lt;&gt;"",D158&lt;&gt;""),C158&amp;"|"&amp;TEXT(D158,"yyyymmdd"),"")</f>
        <v/>
      </c>
    </row>
    <row r="159">
      <c r="B159" s="32" t="n"/>
      <c r="C159" s="33" t="n"/>
      <c r="D159" s="32" t="n"/>
      <c r="E159" s="34" t="n"/>
      <c r="F159" s="33" t="n"/>
      <c r="G159" s="34" t="n"/>
      <c r="H159" s="33" t="n"/>
      <c r="I159" s="22">
        <f>IF(D159="","",COUNTIFS(LOG_DATE,D159,LOG_STATE,"承認")+COUNTIFS(LOG_DATE,D159,LOG_STATE,"申請中")-IF(G159="却下",0,1))</f>
        <v/>
      </c>
      <c r="J159" s="22">
        <f>IF(D159="","",IFERROR(SUMPRODUCT((INDEX(STAFF_DAYS,0,WEEKDAY(D159,2))="○")*1)-I159-IF(G159="却下",0,1),"日付を確認"))</f>
        <v/>
      </c>
      <c r="K159" s="27">
        <f>IF(D159="","",IFERROR(IF(OR(INDEX(BIZ_DAYS,WEEKDAY(D159,2))="×",COUNTIF(HOLIDAYS,D159)&gt;0),"休業日",IF(J159&lt;MIN_ALL,"要確認","OK")),"日付を確認"))</f>
        <v/>
      </c>
      <c r="L159" s="29">
        <f>IF(AND(G159="承認",C159&lt;&gt;"",D159&lt;&gt;""),C159&amp;"|"&amp;TEXT(D159,"yyyymmdd"),"")</f>
        <v/>
      </c>
      <c r="M159" s="29">
        <f>IF(AND(G159="申請中",C159&lt;&gt;"",D159&lt;&gt;""),C159&amp;"|"&amp;TEXT(D159,"yyyymmdd"),"")</f>
        <v/>
      </c>
    </row>
    <row r="160">
      <c r="B160" s="32" t="n"/>
      <c r="C160" s="33" t="n"/>
      <c r="D160" s="32" t="n"/>
      <c r="E160" s="34" t="n"/>
      <c r="F160" s="33" t="n"/>
      <c r="G160" s="34" t="n"/>
      <c r="H160" s="33" t="n"/>
      <c r="I160" s="22">
        <f>IF(D160="","",COUNTIFS(LOG_DATE,D160,LOG_STATE,"承認")+COUNTIFS(LOG_DATE,D160,LOG_STATE,"申請中")-IF(G160="却下",0,1))</f>
        <v/>
      </c>
      <c r="J160" s="22">
        <f>IF(D160="","",IFERROR(SUMPRODUCT((INDEX(STAFF_DAYS,0,WEEKDAY(D160,2))="○")*1)-I160-IF(G160="却下",0,1),"日付を確認"))</f>
        <v/>
      </c>
      <c r="K160" s="27">
        <f>IF(D160="","",IFERROR(IF(OR(INDEX(BIZ_DAYS,WEEKDAY(D160,2))="×",COUNTIF(HOLIDAYS,D160)&gt;0),"休業日",IF(J160&lt;MIN_ALL,"要確認","OK")),"日付を確認"))</f>
        <v/>
      </c>
      <c r="L160" s="29">
        <f>IF(AND(G160="承認",C160&lt;&gt;"",D160&lt;&gt;""),C160&amp;"|"&amp;TEXT(D160,"yyyymmdd"),"")</f>
        <v/>
      </c>
      <c r="M160" s="29">
        <f>IF(AND(G160="申請中",C160&lt;&gt;"",D160&lt;&gt;""),C160&amp;"|"&amp;TEXT(D160,"yyyymmdd"),"")</f>
        <v/>
      </c>
    </row>
    <row r="161">
      <c r="B161" s="32" t="n"/>
      <c r="C161" s="33" t="n"/>
      <c r="D161" s="32" t="n"/>
      <c r="E161" s="34" t="n"/>
      <c r="F161" s="33" t="n"/>
      <c r="G161" s="34" t="n"/>
      <c r="H161" s="33" t="n"/>
      <c r="I161" s="22">
        <f>IF(D161="","",COUNTIFS(LOG_DATE,D161,LOG_STATE,"承認")+COUNTIFS(LOG_DATE,D161,LOG_STATE,"申請中")-IF(G161="却下",0,1))</f>
        <v/>
      </c>
      <c r="J161" s="22">
        <f>IF(D161="","",IFERROR(SUMPRODUCT((INDEX(STAFF_DAYS,0,WEEKDAY(D161,2))="○")*1)-I161-IF(G161="却下",0,1),"日付を確認"))</f>
        <v/>
      </c>
      <c r="K161" s="27">
        <f>IF(D161="","",IFERROR(IF(OR(INDEX(BIZ_DAYS,WEEKDAY(D161,2))="×",COUNTIF(HOLIDAYS,D161)&gt;0),"休業日",IF(J161&lt;MIN_ALL,"要確認","OK")),"日付を確認"))</f>
        <v/>
      </c>
      <c r="L161" s="29">
        <f>IF(AND(G161="承認",C161&lt;&gt;"",D161&lt;&gt;""),C161&amp;"|"&amp;TEXT(D161,"yyyymmdd"),"")</f>
        <v/>
      </c>
      <c r="M161" s="29">
        <f>IF(AND(G161="申請中",C161&lt;&gt;"",D161&lt;&gt;""),C161&amp;"|"&amp;TEXT(D161,"yyyymmdd"),"")</f>
        <v/>
      </c>
    </row>
    <row r="162">
      <c r="B162" s="32" t="n"/>
      <c r="C162" s="33" t="n"/>
      <c r="D162" s="32" t="n"/>
      <c r="E162" s="34" t="n"/>
      <c r="F162" s="33" t="n"/>
      <c r="G162" s="34" t="n"/>
      <c r="H162" s="33" t="n"/>
      <c r="I162" s="22">
        <f>IF(D162="","",COUNTIFS(LOG_DATE,D162,LOG_STATE,"承認")+COUNTIFS(LOG_DATE,D162,LOG_STATE,"申請中")-IF(G162="却下",0,1))</f>
        <v/>
      </c>
      <c r="J162" s="22">
        <f>IF(D162="","",IFERROR(SUMPRODUCT((INDEX(STAFF_DAYS,0,WEEKDAY(D162,2))="○")*1)-I162-IF(G162="却下",0,1),"日付を確認"))</f>
        <v/>
      </c>
      <c r="K162" s="27">
        <f>IF(D162="","",IFERROR(IF(OR(INDEX(BIZ_DAYS,WEEKDAY(D162,2))="×",COUNTIF(HOLIDAYS,D162)&gt;0),"休業日",IF(J162&lt;MIN_ALL,"要確認","OK")),"日付を確認"))</f>
        <v/>
      </c>
      <c r="L162" s="29">
        <f>IF(AND(G162="承認",C162&lt;&gt;"",D162&lt;&gt;""),C162&amp;"|"&amp;TEXT(D162,"yyyymmdd"),"")</f>
        <v/>
      </c>
      <c r="M162" s="29">
        <f>IF(AND(G162="申請中",C162&lt;&gt;"",D162&lt;&gt;""),C162&amp;"|"&amp;TEXT(D162,"yyyymmdd"),"")</f>
        <v/>
      </c>
    </row>
    <row r="163">
      <c r="B163" s="32" t="n"/>
      <c r="C163" s="33" t="n"/>
      <c r="D163" s="32" t="n"/>
      <c r="E163" s="34" t="n"/>
      <c r="F163" s="33" t="n"/>
      <c r="G163" s="34" t="n"/>
      <c r="H163" s="33" t="n"/>
      <c r="I163" s="22">
        <f>IF(D163="","",COUNTIFS(LOG_DATE,D163,LOG_STATE,"承認")+COUNTIFS(LOG_DATE,D163,LOG_STATE,"申請中")-IF(G163="却下",0,1))</f>
        <v/>
      </c>
      <c r="J163" s="22">
        <f>IF(D163="","",IFERROR(SUMPRODUCT((INDEX(STAFF_DAYS,0,WEEKDAY(D163,2))="○")*1)-I163-IF(G163="却下",0,1),"日付を確認"))</f>
        <v/>
      </c>
      <c r="K163" s="27">
        <f>IF(D163="","",IFERROR(IF(OR(INDEX(BIZ_DAYS,WEEKDAY(D163,2))="×",COUNTIF(HOLIDAYS,D163)&gt;0),"休業日",IF(J163&lt;MIN_ALL,"要確認","OK")),"日付を確認"))</f>
        <v/>
      </c>
      <c r="L163" s="29">
        <f>IF(AND(G163="承認",C163&lt;&gt;"",D163&lt;&gt;""),C163&amp;"|"&amp;TEXT(D163,"yyyymmdd"),"")</f>
        <v/>
      </c>
      <c r="M163" s="29">
        <f>IF(AND(G163="申請中",C163&lt;&gt;"",D163&lt;&gt;""),C163&amp;"|"&amp;TEXT(D163,"yyyymmdd"),"")</f>
        <v/>
      </c>
    </row>
    <row r="164">
      <c r="B164" s="32" t="n"/>
      <c r="C164" s="33" t="n"/>
      <c r="D164" s="32" t="n"/>
      <c r="E164" s="34" t="n"/>
      <c r="F164" s="33" t="n"/>
      <c r="G164" s="34" t="n"/>
      <c r="H164" s="33" t="n"/>
      <c r="I164" s="22">
        <f>IF(D164="","",COUNTIFS(LOG_DATE,D164,LOG_STATE,"承認")+COUNTIFS(LOG_DATE,D164,LOG_STATE,"申請中")-IF(G164="却下",0,1))</f>
        <v/>
      </c>
      <c r="J164" s="22">
        <f>IF(D164="","",IFERROR(SUMPRODUCT((INDEX(STAFF_DAYS,0,WEEKDAY(D164,2))="○")*1)-I164-IF(G164="却下",0,1),"日付を確認"))</f>
        <v/>
      </c>
      <c r="K164" s="27">
        <f>IF(D164="","",IFERROR(IF(OR(INDEX(BIZ_DAYS,WEEKDAY(D164,2))="×",COUNTIF(HOLIDAYS,D164)&gt;0),"休業日",IF(J164&lt;MIN_ALL,"要確認","OK")),"日付を確認"))</f>
        <v/>
      </c>
      <c r="L164" s="29">
        <f>IF(AND(G164="承認",C164&lt;&gt;"",D164&lt;&gt;""),C164&amp;"|"&amp;TEXT(D164,"yyyymmdd"),"")</f>
        <v/>
      </c>
      <c r="M164" s="29">
        <f>IF(AND(G164="申請中",C164&lt;&gt;"",D164&lt;&gt;""),C164&amp;"|"&amp;TEXT(D164,"yyyymmdd"),"")</f>
        <v/>
      </c>
    </row>
    <row r="165">
      <c r="B165" s="32" t="n"/>
      <c r="C165" s="33" t="n"/>
      <c r="D165" s="32" t="n"/>
      <c r="E165" s="34" t="n"/>
      <c r="F165" s="33" t="n"/>
      <c r="G165" s="34" t="n"/>
      <c r="H165" s="33" t="n"/>
      <c r="I165" s="22">
        <f>IF(D165="","",COUNTIFS(LOG_DATE,D165,LOG_STATE,"承認")+COUNTIFS(LOG_DATE,D165,LOG_STATE,"申請中")-IF(G165="却下",0,1))</f>
        <v/>
      </c>
      <c r="J165" s="22">
        <f>IF(D165="","",IFERROR(SUMPRODUCT((INDEX(STAFF_DAYS,0,WEEKDAY(D165,2))="○")*1)-I165-IF(G165="却下",0,1),"日付を確認"))</f>
        <v/>
      </c>
      <c r="K165" s="27">
        <f>IF(D165="","",IFERROR(IF(OR(INDEX(BIZ_DAYS,WEEKDAY(D165,2))="×",COUNTIF(HOLIDAYS,D165)&gt;0),"休業日",IF(J165&lt;MIN_ALL,"要確認","OK")),"日付を確認"))</f>
        <v/>
      </c>
      <c r="L165" s="29">
        <f>IF(AND(G165="承認",C165&lt;&gt;"",D165&lt;&gt;""),C165&amp;"|"&amp;TEXT(D165,"yyyymmdd"),"")</f>
        <v/>
      </c>
      <c r="M165" s="29">
        <f>IF(AND(G165="申請中",C165&lt;&gt;"",D165&lt;&gt;""),C165&amp;"|"&amp;TEXT(D165,"yyyymmdd"),"")</f>
        <v/>
      </c>
    </row>
    <row r="166">
      <c r="B166" s="32" t="n"/>
      <c r="C166" s="33" t="n"/>
      <c r="D166" s="32" t="n"/>
      <c r="E166" s="34" t="n"/>
      <c r="F166" s="33" t="n"/>
      <c r="G166" s="34" t="n"/>
      <c r="H166" s="33" t="n"/>
      <c r="I166" s="22">
        <f>IF(D166="","",COUNTIFS(LOG_DATE,D166,LOG_STATE,"承認")+COUNTIFS(LOG_DATE,D166,LOG_STATE,"申請中")-IF(G166="却下",0,1))</f>
        <v/>
      </c>
      <c r="J166" s="22">
        <f>IF(D166="","",IFERROR(SUMPRODUCT((INDEX(STAFF_DAYS,0,WEEKDAY(D166,2))="○")*1)-I166-IF(G166="却下",0,1),"日付を確認"))</f>
        <v/>
      </c>
      <c r="K166" s="27">
        <f>IF(D166="","",IFERROR(IF(OR(INDEX(BIZ_DAYS,WEEKDAY(D166,2))="×",COUNTIF(HOLIDAYS,D166)&gt;0),"休業日",IF(J166&lt;MIN_ALL,"要確認","OK")),"日付を確認"))</f>
        <v/>
      </c>
      <c r="L166" s="29">
        <f>IF(AND(G166="承認",C166&lt;&gt;"",D166&lt;&gt;""),C166&amp;"|"&amp;TEXT(D166,"yyyymmdd"),"")</f>
        <v/>
      </c>
      <c r="M166" s="29">
        <f>IF(AND(G166="申請中",C166&lt;&gt;"",D166&lt;&gt;""),C166&amp;"|"&amp;TEXT(D166,"yyyymmdd"),"")</f>
        <v/>
      </c>
    </row>
    <row r="167">
      <c r="B167" s="32" t="n"/>
      <c r="C167" s="33" t="n"/>
      <c r="D167" s="32" t="n"/>
      <c r="E167" s="34" t="n"/>
      <c r="F167" s="33" t="n"/>
      <c r="G167" s="34" t="n"/>
      <c r="H167" s="33" t="n"/>
      <c r="I167" s="22">
        <f>IF(D167="","",COUNTIFS(LOG_DATE,D167,LOG_STATE,"承認")+COUNTIFS(LOG_DATE,D167,LOG_STATE,"申請中")-IF(G167="却下",0,1))</f>
        <v/>
      </c>
      <c r="J167" s="22">
        <f>IF(D167="","",IFERROR(SUMPRODUCT((INDEX(STAFF_DAYS,0,WEEKDAY(D167,2))="○")*1)-I167-IF(G167="却下",0,1),"日付を確認"))</f>
        <v/>
      </c>
      <c r="K167" s="27">
        <f>IF(D167="","",IFERROR(IF(OR(INDEX(BIZ_DAYS,WEEKDAY(D167,2))="×",COUNTIF(HOLIDAYS,D167)&gt;0),"休業日",IF(J167&lt;MIN_ALL,"要確認","OK")),"日付を確認"))</f>
        <v/>
      </c>
      <c r="L167" s="29">
        <f>IF(AND(G167="承認",C167&lt;&gt;"",D167&lt;&gt;""),C167&amp;"|"&amp;TEXT(D167,"yyyymmdd"),"")</f>
        <v/>
      </c>
      <c r="M167" s="29">
        <f>IF(AND(G167="申請中",C167&lt;&gt;"",D167&lt;&gt;""),C167&amp;"|"&amp;TEXT(D167,"yyyymmdd"),"")</f>
        <v/>
      </c>
    </row>
    <row r="168">
      <c r="B168" s="32" t="n"/>
      <c r="C168" s="33" t="n"/>
      <c r="D168" s="32" t="n"/>
      <c r="E168" s="34" t="n"/>
      <c r="F168" s="33" t="n"/>
      <c r="G168" s="34" t="n"/>
      <c r="H168" s="33" t="n"/>
      <c r="I168" s="22">
        <f>IF(D168="","",COUNTIFS(LOG_DATE,D168,LOG_STATE,"承認")+COUNTIFS(LOG_DATE,D168,LOG_STATE,"申請中")-IF(G168="却下",0,1))</f>
        <v/>
      </c>
      <c r="J168" s="22">
        <f>IF(D168="","",IFERROR(SUMPRODUCT((INDEX(STAFF_DAYS,0,WEEKDAY(D168,2))="○")*1)-I168-IF(G168="却下",0,1),"日付を確認"))</f>
        <v/>
      </c>
      <c r="K168" s="27">
        <f>IF(D168="","",IFERROR(IF(OR(INDEX(BIZ_DAYS,WEEKDAY(D168,2))="×",COUNTIF(HOLIDAYS,D168)&gt;0),"休業日",IF(J168&lt;MIN_ALL,"要確認","OK")),"日付を確認"))</f>
        <v/>
      </c>
      <c r="L168" s="29">
        <f>IF(AND(G168="承認",C168&lt;&gt;"",D168&lt;&gt;""),C168&amp;"|"&amp;TEXT(D168,"yyyymmdd"),"")</f>
        <v/>
      </c>
      <c r="M168" s="29">
        <f>IF(AND(G168="申請中",C168&lt;&gt;"",D168&lt;&gt;""),C168&amp;"|"&amp;TEXT(D168,"yyyymmdd"),"")</f>
        <v/>
      </c>
    </row>
    <row r="169">
      <c r="B169" s="32" t="n"/>
      <c r="C169" s="33" t="n"/>
      <c r="D169" s="32" t="n"/>
      <c r="E169" s="34" t="n"/>
      <c r="F169" s="33" t="n"/>
      <c r="G169" s="34" t="n"/>
      <c r="H169" s="33" t="n"/>
      <c r="I169" s="22">
        <f>IF(D169="","",COUNTIFS(LOG_DATE,D169,LOG_STATE,"承認")+COUNTIFS(LOG_DATE,D169,LOG_STATE,"申請中")-IF(G169="却下",0,1))</f>
        <v/>
      </c>
      <c r="J169" s="22">
        <f>IF(D169="","",IFERROR(SUMPRODUCT((INDEX(STAFF_DAYS,0,WEEKDAY(D169,2))="○")*1)-I169-IF(G169="却下",0,1),"日付を確認"))</f>
        <v/>
      </c>
      <c r="K169" s="27">
        <f>IF(D169="","",IFERROR(IF(OR(INDEX(BIZ_DAYS,WEEKDAY(D169,2))="×",COUNTIF(HOLIDAYS,D169)&gt;0),"休業日",IF(J169&lt;MIN_ALL,"要確認","OK")),"日付を確認"))</f>
        <v/>
      </c>
      <c r="L169" s="29">
        <f>IF(AND(G169="承認",C169&lt;&gt;"",D169&lt;&gt;""),C169&amp;"|"&amp;TEXT(D169,"yyyymmdd"),"")</f>
        <v/>
      </c>
      <c r="M169" s="29">
        <f>IF(AND(G169="申請中",C169&lt;&gt;"",D169&lt;&gt;""),C169&amp;"|"&amp;TEXT(D169,"yyyymmdd"),"")</f>
        <v/>
      </c>
    </row>
    <row r="170">
      <c r="B170" s="32" t="n"/>
      <c r="C170" s="33" t="n"/>
      <c r="D170" s="32" t="n"/>
      <c r="E170" s="34" t="n"/>
      <c r="F170" s="33" t="n"/>
      <c r="G170" s="34" t="n"/>
      <c r="H170" s="33" t="n"/>
      <c r="I170" s="22">
        <f>IF(D170="","",COUNTIFS(LOG_DATE,D170,LOG_STATE,"承認")+COUNTIFS(LOG_DATE,D170,LOG_STATE,"申請中")-IF(G170="却下",0,1))</f>
        <v/>
      </c>
      <c r="J170" s="22">
        <f>IF(D170="","",IFERROR(SUMPRODUCT((INDEX(STAFF_DAYS,0,WEEKDAY(D170,2))="○")*1)-I170-IF(G170="却下",0,1),"日付を確認"))</f>
        <v/>
      </c>
      <c r="K170" s="27">
        <f>IF(D170="","",IFERROR(IF(OR(INDEX(BIZ_DAYS,WEEKDAY(D170,2))="×",COUNTIF(HOLIDAYS,D170)&gt;0),"休業日",IF(J170&lt;MIN_ALL,"要確認","OK")),"日付を確認"))</f>
        <v/>
      </c>
      <c r="L170" s="29">
        <f>IF(AND(G170="承認",C170&lt;&gt;"",D170&lt;&gt;""),C170&amp;"|"&amp;TEXT(D170,"yyyymmdd"),"")</f>
        <v/>
      </c>
      <c r="M170" s="29">
        <f>IF(AND(G170="申請中",C170&lt;&gt;"",D170&lt;&gt;""),C170&amp;"|"&amp;TEXT(D170,"yyyymmdd"),"")</f>
        <v/>
      </c>
    </row>
    <row r="171">
      <c r="B171" s="32" t="n"/>
      <c r="C171" s="33" t="n"/>
      <c r="D171" s="32" t="n"/>
      <c r="E171" s="34" t="n"/>
      <c r="F171" s="33" t="n"/>
      <c r="G171" s="34" t="n"/>
      <c r="H171" s="33" t="n"/>
      <c r="I171" s="22">
        <f>IF(D171="","",COUNTIFS(LOG_DATE,D171,LOG_STATE,"承認")+COUNTIFS(LOG_DATE,D171,LOG_STATE,"申請中")-IF(G171="却下",0,1))</f>
        <v/>
      </c>
      <c r="J171" s="22">
        <f>IF(D171="","",IFERROR(SUMPRODUCT((INDEX(STAFF_DAYS,0,WEEKDAY(D171,2))="○")*1)-I171-IF(G171="却下",0,1),"日付を確認"))</f>
        <v/>
      </c>
      <c r="K171" s="27">
        <f>IF(D171="","",IFERROR(IF(OR(INDEX(BIZ_DAYS,WEEKDAY(D171,2))="×",COUNTIF(HOLIDAYS,D171)&gt;0),"休業日",IF(J171&lt;MIN_ALL,"要確認","OK")),"日付を確認"))</f>
        <v/>
      </c>
      <c r="L171" s="29">
        <f>IF(AND(G171="承認",C171&lt;&gt;"",D171&lt;&gt;""),C171&amp;"|"&amp;TEXT(D171,"yyyymmdd"),"")</f>
        <v/>
      </c>
      <c r="M171" s="29">
        <f>IF(AND(G171="申請中",C171&lt;&gt;"",D171&lt;&gt;""),C171&amp;"|"&amp;TEXT(D171,"yyyymmdd"),"")</f>
        <v/>
      </c>
    </row>
    <row r="172">
      <c r="B172" s="32" t="n"/>
      <c r="C172" s="33" t="n"/>
      <c r="D172" s="32" t="n"/>
      <c r="E172" s="34" t="n"/>
      <c r="F172" s="33" t="n"/>
      <c r="G172" s="34" t="n"/>
      <c r="H172" s="33" t="n"/>
      <c r="I172" s="22">
        <f>IF(D172="","",COUNTIFS(LOG_DATE,D172,LOG_STATE,"承認")+COUNTIFS(LOG_DATE,D172,LOG_STATE,"申請中")-IF(G172="却下",0,1))</f>
        <v/>
      </c>
      <c r="J172" s="22">
        <f>IF(D172="","",IFERROR(SUMPRODUCT((INDEX(STAFF_DAYS,0,WEEKDAY(D172,2))="○")*1)-I172-IF(G172="却下",0,1),"日付を確認"))</f>
        <v/>
      </c>
      <c r="K172" s="27">
        <f>IF(D172="","",IFERROR(IF(OR(INDEX(BIZ_DAYS,WEEKDAY(D172,2))="×",COUNTIF(HOLIDAYS,D172)&gt;0),"休業日",IF(J172&lt;MIN_ALL,"要確認","OK")),"日付を確認"))</f>
        <v/>
      </c>
      <c r="L172" s="29">
        <f>IF(AND(G172="承認",C172&lt;&gt;"",D172&lt;&gt;""),C172&amp;"|"&amp;TEXT(D172,"yyyymmdd"),"")</f>
        <v/>
      </c>
      <c r="M172" s="29">
        <f>IF(AND(G172="申請中",C172&lt;&gt;"",D172&lt;&gt;""),C172&amp;"|"&amp;TEXT(D172,"yyyymmdd"),"")</f>
        <v/>
      </c>
    </row>
    <row r="173">
      <c r="B173" s="32" t="n"/>
      <c r="C173" s="33" t="n"/>
      <c r="D173" s="32" t="n"/>
      <c r="E173" s="34" t="n"/>
      <c r="F173" s="33" t="n"/>
      <c r="G173" s="34" t="n"/>
      <c r="H173" s="33" t="n"/>
      <c r="I173" s="22">
        <f>IF(D173="","",COUNTIFS(LOG_DATE,D173,LOG_STATE,"承認")+COUNTIFS(LOG_DATE,D173,LOG_STATE,"申請中")-IF(G173="却下",0,1))</f>
        <v/>
      </c>
      <c r="J173" s="22">
        <f>IF(D173="","",IFERROR(SUMPRODUCT((INDEX(STAFF_DAYS,0,WEEKDAY(D173,2))="○")*1)-I173-IF(G173="却下",0,1),"日付を確認"))</f>
        <v/>
      </c>
      <c r="K173" s="27">
        <f>IF(D173="","",IFERROR(IF(OR(INDEX(BIZ_DAYS,WEEKDAY(D173,2))="×",COUNTIF(HOLIDAYS,D173)&gt;0),"休業日",IF(J173&lt;MIN_ALL,"要確認","OK")),"日付を確認"))</f>
        <v/>
      </c>
      <c r="L173" s="29">
        <f>IF(AND(G173="承認",C173&lt;&gt;"",D173&lt;&gt;""),C173&amp;"|"&amp;TEXT(D173,"yyyymmdd"),"")</f>
        <v/>
      </c>
      <c r="M173" s="29">
        <f>IF(AND(G173="申請中",C173&lt;&gt;"",D173&lt;&gt;""),C173&amp;"|"&amp;TEXT(D173,"yyyymmdd"),"")</f>
        <v/>
      </c>
    </row>
    <row r="174">
      <c r="B174" s="32" t="n"/>
      <c r="C174" s="33" t="n"/>
      <c r="D174" s="32" t="n"/>
      <c r="E174" s="34" t="n"/>
      <c r="F174" s="33" t="n"/>
      <c r="G174" s="34" t="n"/>
      <c r="H174" s="33" t="n"/>
      <c r="I174" s="22">
        <f>IF(D174="","",COUNTIFS(LOG_DATE,D174,LOG_STATE,"承認")+COUNTIFS(LOG_DATE,D174,LOG_STATE,"申請中")-IF(G174="却下",0,1))</f>
        <v/>
      </c>
      <c r="J174" s="22">
        <f>IF(D174="","",IFERROR(SUMPRODUCT((INDEX(STAFF_DAYS,0,WEEKDAY(D174,2))="○")*1)-I174-IF(G174="却下",0,1),"日付を確認"))</f>
        <v/>
      </c>
      <c r="K174" s="27">
        <f>IF(D174="","",IFERROR(IF(OR(INDEX(BIZ_DAYS,WEEKDAY(D174,2))="×",COUNTIF(HOLIDAYS,D174)&gt;0),"休業日",IF(J174&lt;MIN_ALL,"要確認","OK")),"日付を確認"))</f>
        <v/>
      </c>
      <c r="L174" s="29">
        <f>IF(AND(G174="承認",C174&lt;&gt;"",D174&lt;&gt;""),C174&amp;"|"&amp;TEXT(D174,"yyyymmdd"),"")</f>
        <v/>
      </c>
      <c r="M174" s="29">
        <f>IF(AND(G174="申請中",C174&lt;&gt;"",D174&lt;&gt;""),C174&amp;"|"&amp;TEXT(D174,"yyyymmdd"),"")</f>
        <v/>
      </c>
    </row>
    <row r="175">
      <c r="B175" s="32" t="n"/>
      <c r="C175" s="33" t="n"/>
      <c r="D175" s="32" t="n"/>
      <c r="E175" s="34" t="n"/>
      <c r="F175" s="33" t="n"/>
      <c r="G175" s="34" t="n"/>
      <c r="H175" s="33" t="n"/>
      <c r="I175" s="22">
        <f>IF(D175="","",COUNTIFS(LOG_DATE,D175,LOG_STATE,"承認")+COUNTIFS(LOG_DATE,D175,LOG_STATE,"申請中")-IF(G175="却下",0,1))</f>
        <v/>
      </c>
      <c r="J175" s="22">
        <f>IF(D175="","",IFERROR(SUMPRODUCT((INDEX(STAFF_DAYS,0,WEEKDAY(D175,2))="○")*1)-I175-IF(G175="却下",0,1),"日付を確認"))</f>
        <v/>
      </c>
      <c r="K175" s="27">
        <f>IF(D175="","",IFERROR(IF(OR(INDEX(BIZ_DAYS,WEEKDAY(D175,2))="×",COUNTIF(HOLIDAYS,D175)&gt;0),"休業日",IF(J175&lt;MIN_ALL,"要確認","OK")),"日付を確認"))</f>
        <v/>
      </c>
      <c r="L175" s="29">
        <f>IF(AND(G175="承認",C175&lt;&gt;"",D175&lt;&gt;""),C175&amp;"|"&amp;TEXT(D175,"yyyymmdd"),"")</f>
        <v/>
      </c>
      <c r="M175" s="29">
        <f>IF(AND(G175="申請中",C175&lt;&gt;"",D175&lt;&gt;""),C175&amp;"|"&amp;TEXT(D175,"yyyymmdd"),"")</f>
        <v/>
      </c>
    </row>
    <row r="176">
      <c r="B176" s="32" t="n"/>
      <c r="C176" s="33" t="n"/>
      <c r="D176" s="32" t="n"/>
      <c r="E176" s="34" t="n"/>
      <c r="F176" s="33" t="n"/>
      <c r="G176" s="34" t="n"/>
      <c r="H176" s="33" t="n"/>
      <c r="I176" s="22">
        <f>IF(D176="","",COUNTIFS(LOG_DATE,D176,LOG_STATE,"承認")+COUNTIFS(LOG_DATE,D176,LOG_STATE,"申請中")-IF(G176="却下",0,1))</f>
        <v/>
      </c>
      <c r="J176" s="22">
        <f>IF(D176="","",IFERROR(SUMPRODUCT((INDEX(STAFF_DAYS,0,WEEKDAY(D176,2))="○")*1)-I176-IF(G176="却下",0,1),"日付を確認"))</f>
        <v/>
      </c>
      <c r="K176" s="27">
        <f>IF(D176="","",IFERROR(IF(OR(INDEX(BIZ_DAYS,WEEKDAY(D176,2))="×",COUNTIF(HOLIDAYS,D176)&gt;0),"休業日",IF(J176&lt;MIN_ALL,"要確認","OK")),"日付を確認"))</f>
        <v/>
      </c>
      <c r="L176" s="29">
        <f>IF(AND(G176="承認",C176&lt;&gt;"",D176&lt;&gt;""),C176&amp;"|"&amp;TEXT(D176,"yyyymmdd"),"")</f>
        <v/>
      </c>
      <c r="M176" s="29">
        <f>IF(AND(G176="申請中",C176&lt;&gt;"",D176&lt;&gt;""),C176&amp;"|"&amp;TEXT(D176,"yyyymmdd"),"")</f>
        <v/>
      </c>
    </row>
    <row r="177">
      <c r="B177" s="32" t="n"/>
      <c r="C177" s="33" t="n"/>
      <c r="D177" s="32" t="n"/>
      <c r="E177" s="34" t="n"/>
      <c r="F177" s="33" t="n"/>
      <c r="G177" s="34" t="n"/>
      <c r="H177" s="33" t="n"/>
      <c r="I177" s="22">
        <f>IF(D177="","",COUNTIFS(LOG_DATE,D177,LOG_STATE,"承認")+COUNTIFS(LOG_DATE,D177,LOG_STATE,"申請中")-IF(G177="却下",0,1))</f>
        <v/>
      </c>
      <c r="J177" s="22">
        <f>IF(D177="","",IFERROR(SUMPRODUCT((INDEX(STAFF_DAYS,0,WEEKDAY(D177,2))="○")*1)-I177-IF(G177="却下",0,1),"日付を確認"))</f>
        <v/>
      </c>
      <c r="K177" s="27">
        <f>IF(D177="","",IFERROR(IF(OR(INDEX(BIZ_DAYS,WEEKDAY(D177,2))="×",COUNTIF(HOLIDAYS,D177)&gt;0),"休業日",IF(J177&lt;MIN_ALL,"要確認","OK")),"日付を確認"))</f>
        <v/>
      </c>
      <c r="L177" s="29">
        <f>IF(AND(G177="承認",C177&lt;&gt;"",D177&lt;&gt;""),C177&amp;"|"&amp;TEXT(D177,"yyyymmdd"),"")</f>
        <v/>
      </c>
      <c r="M177" s="29">
        <f>IF(AND(G177="申請中",C177&lt;&gt;"",D177&lt;&gt;""),C177&amp;"|"&amp;TEXT(D177,"yyyymmdd"),"")</f>
        <v/>
      </c>
    </row>
    <row r="178">
      <c r="B178" s="32" t="n"/>
      <c r="C178" s="33" t="n"/>
      <c r="D178" s="32" t="n"/>
      <c r="E178" s="34" t="n"/>
      <c r="F178" s="33" t="n"/>
      <c r="G178" s="34" t="n"/>
      <c r="H178" s="33" t="n"/>
      <c r="I178" s="22">
        <f>IF(D178="","",COUNTIFS(LOG_DATE,D178,LOG_STATE,"承認")+COUNTIFS(LOG_DATE,D178,LOG_STATE,"申請中")-IF(G178="却下",0,1))</f>
        <v/>
      </c>
      <c r="J178" s="22">
        <f>IF(D178="","",IFERROR(SUMPRODUCT((INDEX(STAFF_DAYS,0,WEEKDAY(D178,2))="○")*1)-I178-IF(G178="却下",0,1),"日付を確認"))</f>
        <v/>
      </c>
      <c r="K178" s="27">
        <f>IF(D178="","",IFERROR(IF(OR(INDEX(BIZ_DAYS,WEEKDAY(D178,2))="×",COUNTIF(HOLIDAYS,D178)&gt;0),"休業日",IF(J178&lt;MIN_ALL,"要確認","OK")),"日付を確認"))</f>
        <v/>
      </c>
      <c r="L178" s="29">
        <f>IF(AND(G178="承認",C178&lt;&gt;"",D178&lt;&gt;""),C178&amp;"|"&amp;TEXT(D178,"yyyymmdd"),"")</f>
        <v/>
      </c>
      <c r="M178" s="29">
        <f>IF(AND(G178="申請中",C178&lt;&gt;"",D178&lt;&gt;""),C178&amp;"|"&amp;TEXT(D178,"yyyymmdd"),"")</f>
        <v/>
      </c>
    </row>
    <row r="179">
      <c r="B179" s="32" t="n"/>
      <c r="C179" s="33" t="n"/>
      <c r="D179" s="32" t="n"/>
      <c r="E179" s="34" t="n"/>
      <c r="F179" s="33" t="n"/>
      <c r="G179" s="34" t="n"/>
      <c r="H179" s="33" t="n"/>
      <c r="I179" s="22">
        <f>IF(D179="","",COUNTIFS(LOG_DATE,D179,LOG_STATE,"承認")+COUNTIFS(LOG_DATE,D179,LOG_STATE,"申請中")-IF(G179="却下",0,1))</f>
        <v/>
      </c>
      <c r="J179" s="22">
        <f>IF(D179="","",IFERROR(SUMPRODUCT((INDEX(STAFF_DAYS,0,WEEKDAY(D179,2))="○")*1)-I179-IF(G179="却下",0,1),"日付を確認"))</f>
        <v/>
      </c>
      <c r="K179" s="27">
        <f>IF(D179="","",IFERROR(IF(OR(INDEX(BIZ_DAYS,WEEKDAY(D179,2))="×",COUNTIF(HOLIDAYS,D179)&gt;0),"休業日",IF(J179&lt;MIN_ALL,"要確認","OK")),"日付を確認"))</f>
        <v/>
      </c>
      <c r="L179" s="29">
        <f>IF(AND(G179="承認",C179&lt;&gt;"",D179&lt;&gt;""),C179&amp;"|"&amp;TEXT(D179,"yyyymmdd"),"")</f>
        <v/>
      </c>
      <c r="M179" s="29">
        <f>IF(AND(G179="申請中",C179&lt;&gt;"",D179&lt;&gt;""),C179&amp;"|"&amp;TEXT(D179,"yyyymmdd"),"")</f>
        <v/>
      </c>
    </row>
    <row r="180">
      <c r="B180" s="32" t="n"/>
      <c r="C180" s="33" t="n"/>
      <c r="D180" s="32" t="n"/>
      <c r="E180" s="34" t="n"/>
      <c r="F180" s="33" t="n"/>
      <c r="G180" s="34" t="n"/>
      <c r="H180" s="33" t="n"/>
      <c r="I180" s="22">
        <f>IF(D180="","",COUNTIFS(LOG_DATE,D180,LOG_STATE,"承認")+COUNTIFS(LOG_DATE,D180,LOG_STATE,"申請中")-IF(G180="却下",0,1))</f>
        <v/>
      </c>
      <c r="J180" s="22">
        <f>IF(D180="","",IFERROR(SUMPRODUCT((INDEX(STAFF_DAYS,0,WEEKDAY(D180,2))="○")*1)-I180-IF(G180="却下",0,1),"日付を確認"))</f>
        <v/>
      </c>
      <c r="K180" s="27">
        <f>IF(D180="","",IFERROR(IF(OR(INDEX(BIZ_DAYS,WEEKDAY(D180,2))="×",COUNTIF(HOLIDAYS,D180)&gt;0),"休業日",IF(J180&lt;MIN_ALL,"要確認","OK")),"日付を確認"))</f>
        <v/>
      </c>
      <c r="L180" s="29">
        <f>IF(AND(G180="承認",C180&lt;&gt;"",D180&lt;&gt;""),C180&amp;"|"&amp;TEXT(D180,"yyyymmdd"),"")</f>
        <v/>
      </c>
      <c r="M180" s="29">
        <f>IF(AND(G180="申請中",C180&lt;&gt;"",D180&lt;&gt;""),C180&amp;"|"&amp;TEXT(D180,"yyyymmdd"),"")</f>
        <v/>
      </c>
    </row>
    <row r="181">
      <c r="B181" s="32" t="n"/>
      <c r="C181" s="33" t="n"/>
      <c r="D181" s="32" t="n"/>
      <c r="E181" s="34" t="n"/>
      <c r="F181" s="33" t="n"/>
      <c r="G181" s="34" t="n"/>
      <c r="H181" s="33" t="n"/>
      <c r="I181" s="22">
        <f>IF(D181="","",COUNTIFS(LOG_DATE,D181,LOG_STATE,"承認")+COUNTIFS(LOG_DATE,D181,LOG_STATE,"申請中")-IF(G181="却下",0,1))</f>
        <v/>
      </c>
      <c r="J181" s="22">
        <f>IF(D181="","",IFERROR(SUMPRODUCT((INDEX(STAFF_DAYS,0,WEEKDAY(D181,2))="○")*1)-I181-IF(G181="却下",0,1),"日付を確認"))</f>
        <v/>
      </c>
      <c r="K181" s="27">
        <f>IF(D181="","",IFERROR(IF(OR(INDEX(BIZ_DAYS,WEEKDAY(D181,2))="×",COUNTIF(HOLIDAYS,D181)&gt;0),"休業日",IF(J181&lt;MIN_ALL,"要確認","OK")),"日付を確認"))</f>
        <v/>
      </c>
      <c r="L181" s="29">
        <f>IF(AND(G181="承認",C181&lt;&gt;"",D181&lt;&gt;""),C181&amp;"|"&amp;TEXT(D181,"yyyymmdd"),"")</f>
        <v/>
      </c>
      <c r="M181" s="29">
        <f>IF(AND(G181="申請中",C181&lt;&gt;"",D181&lt;&gt;""),C181&amp;"|"&amp;TEXT(D181,"yyyymmdd"),"")</f>
        <v/>
      </c>
    </row>
    <row r="182">
      <c r="B182" s="32" t="n"/>
      <c r="C182" s="33" t="n"/>
      <c r="D182" s="32" t="n"/>
      <c r="E182" s="34" t="n"/>
      <c r="F182" s="33" t="n"/>
      <c r="G182" s="34" t="n"/>
      <c r="H182" s="33" t="n"/>
      <c r="I182" s="22">
        <f>IF(D182="","",COUNTIFS(LOG_DATE,D182,LOG_STATE,"承認")+COUNTIFS(LOG_DATE,D182,LOG_STATE,"申請中")-IF(G182="却下",0,1))</f>
        <v/>
      </c>
      <c r="J182" s="22">
        <f>IF(D182="","",IFERROR(SUMPRODUCT((INDEX(STAFF_DAYS,0,WEEKDAY(D182,2))="○")*1)-I182-IF(G182="却下",0,1),"日付を確認"))</f>
        <v/>
      </c>
      <c r="K182" s="27">
        <f>IF(D182="","",IFERROR(IF(OR(INDEX(BIZ_DAYS,WEEKDAY(D182,2))="×",COUNTIF(HOLIDAYS,D182)&gt;0),"休業日",IF(J182&lt;MIN_ALL,"要確認","OK")),"日付を確認"))</f>
        <v/>
      </c>
      <c r="L182" s="29">
        <f>IF(AND(G182="承認",C182&lt;&gt;"",D182&lt;&gt;""),C182&amp;"|"&amp;TEXT(D182,"yyyymmdd"),"")</f>
        <v/>
      </c>
      <c r="M182" s="29">
        <f>IF(AND(G182="申請中",C182&lt;&gt;"",D182&lt;&gt;""),C182&amp;"|"&amp;TEXT(D182,"yyyymmdd"),"")</f>
        <v/>
      </c>
    </row>
    <row r="183">
      <c r="B183" s="32" t="n"/>
      <c r="C183" s="33" t="n"/>
      <c r="D183" s="32" t="n"/>
      <c r="E183" s="34" t="n"/>
      <c r="F183" s="33" t="n"/>
      <c r="G183" s="34" t="n"/>
      <c r="H183" s="33" t="n"/>
      <c r="I183" s="22">
        <f>IF(D183="","",COUNTIFS(LOG_DATE,D183,LOG_STATE,"承認")+COUNTIFS(LOG_DATE,D183,LOG_STATE,"申請中")-IF(G183="却下",0,1))</f>
        <v/>
      </c>
      <c r="J183" s="22">
        <f>IF(D183="","",IFERROR(SUMPRODUCT((INDEX(STAFF_DAYS,0,WEEKDAY(D183,2))="○")*1)-I183-IF(G183="却下",0,1),"日付を確認"))</f>
        <v/>
      </c>
      <c r="K183" s="27">
        <f>IF(D183="","",IFERROR(IF(OR(INDEX(BIZ_DAYS,WEEKDAY(D183,2))="×",COUNTIF(HOLIDAYS,D183)&gt;0),"休業日",IF(J183&lt;MIN_ALL,"要確認","OK")),"日付を確認"))</f>
        <v/>
      </c>
      <c r="L183" s="29">
        <f>IF(AND(G183="承認",C183&lt;&gt;"",D183&lt;&gt;""),C183&amp;"|"&amp;TEXT(D183,"yyyymmdd"),"")</f>
        <v/>
      </c>
      <c r="M183" s="29">
        <f>IF(AND(G183="申請中",C183&lt;&gt;"",D183&lt;&gt;""),C183&amp;"|"&amp;TEXT(D183,"yyyymmdd"),"")</f>
        <v/>
      </c>
    </row>
    <row r="184">
      <c r="B184" s="32" t="n"/>
      <c r="C184" s="33" t="n"/>
      <c r="D184" s="32" t="n"/>
      <c r="E184" s="34" t="n"/>
      <c r="F184" s="33" t="n"/>
      <c r="G184" s="34" t="n"/>
      <c r="H184" s="33" t="n"/>
      <c r="I184" s="22">
        <f>IF(D184="","",COUNTIFS(LOG_DATE,D184,LOG_STATE,"承認")+COUNTIFS(LOG_DATE,D184,LOG_STATE,"申請中")-IF(G184="却下",0,1))</f>
        <v/>
      </c>
      <c r="J184" s="22">
        <f>IF(D184="","",IFERROR(SUMPRODUCT((INDEX(STAFF_DAYS,0,WEEKDAY(D184,2))="○")*1)-I184-IF(G184="却下",0,1),"日付を確認"))</f>
        <v/>
      </c>
      <c r="K184" s="27">
        <f>IF(D184="","",IFERROR(IF(OR(INDEX(BIZ_DAYS,WEEKDAY(D184,2))="×",COUNTIF(HOLIDAYS,D184)&gt;0),"休業日",IF(J184&lt;MIN_ALL,"要確認","OK")),"日付を確認"))</f>
        <v/>
      </c>
      <c r="L184" s="29">
        <f>IF(AND(G184="承認",C184&lt;&gt;"",D184&lt;&gt;""),C184&amp;"|"&amp;TEXT(D184,"yyyymmdd"),"")</f>
        <v/>
      </c>
      <c r="M184" s="29">
        <f>IF(AND(G184="申請中",C184&lt;&gt;"",D184&lt;&gt;""),C184&amp;"|"&amp;TEXT(D184,"yyyymmdd"),"")</f>
        <v/>
      </c>
    </row>
    <row r="185">
      <c r="B185" s="32" t="n"/>
      <c r="C185" s="33" t="n"/>
      <c r="D185" s="32" t="n"/>
      <c r="E185" s="34" t="n"/>
      <c r="F185" s="33" t="n"/>
      <c r="G185" s="34" t="n"/>
      <c r="H185" s="33" t="n"/>
      <c r="I185" s="22">
        <f>IF(D185="","",COUNTIFS(LOG_DATE,D185,LOG_STATE,"承認")+COUNTIFS(LOG_DATE,D185,LOG_STATE,"申請中")-IF(G185="却下",0,1))</f>
        <v/>
      </c>
      <c r="J185" s="22">
        <f>IF(D185="","",IFERROR(SUMPRODUCT((INDEX(STAFF_DAYS,0,WEEKDAY(D185,2))="○")*1)-I185-IF(G185="却下",0,1),"日付を確認"))</f>
        <v/>
      </c>
      <c r="K185" s="27">
        <f>IF(D185="","",IFERROR(IF(OR(INDEX(BIZ_DAYS,WEEKDAY(D185,2))="×",COUNTIF(HOLIDAYS,D185)&gt;0),"休業日",IF(J185&lt;MIN_ALL,"要確認","OK")),"日付を確認"))</f>
        <v/>
      </c>
      <c r="L185" s="29">
        <f>IF(AND(G185="承認",C185&lt;&gt;"",D185&lt;&gt;""),C185&amp;"|"&amp;TEXT(D185,"yyyymmdd"),"")</f>
        <v/>
      </c>
      <c r="M185" s="29">
        <f>IF(AND(G185="申請中",C185&lt;&gt;"",D185&lt;&gt;""),C185&amp;"|"&amp;TEXT(D185,"yyyymmdd"),"")</f>
        <v/>
      </c>
    </row>
    <row r="186">
      <c r="B186" s="32" t="n"/>
      <c r="C186" s="33" t="n"/>
      <c r="D186" s="32" t="n"/>
      <c r="E186" s="34" t="n"/>
      <c r="F186" s="33" t="n"/>
      <c r="G186" s="34" t="n"/>
      <c r="H186" s="33" t="n"/>
      <c r="I186" s="22">
        <f>IF(D186="","",COUNTIFS(LOG_DATE,D186,LOG_STATE,"承認")+COUNTIFS(LOG_DATE,D186,LOG_STATE,"申請中")-IF(G186="却下",0,1))</f>
        <v/>
      </c>
      <c r="J186" s="22">
        <f>IF(D186="","",IFERROR(SUMPRODUCT((INDEX(STAFF_DAYS,0,WEEKDAY(D186,2))="○")*1)-I186-IF(G186="却下",0,1),"日付を確認"))</f>
        <v/>
      </c>
      <c r="K186" s="27">
        <f>IF(D186="","",IFERROR(IF(OR(INDEX(BIZ_DAYS,WEEKDAY(D186,2))="×",COUNTIF(HOLIDAYS,D186)&gt;0),"休業日",IF(J186&lt;MIN_ALL,"要確認","OK")),"日付を確認"))</f>
        <v/>
      </c>
      <c r="L186" s="29">
        <f>IF(AND(G186="承認",C186&lt;&gt;"",D186&lt;&gt;""),C186&amp;"|"&amp;TEXT(D186,"yyyymmdd"),"")</f>
        <v/>
      </c>
      <c r="M186" s="29">
        <f>IF(AND(G186="申請中",C186&lt;&gt;"",D186&lt;&gt;""),C186&amp;"|"&amp;TEXT(D186,"yyyymmdd"),"")</f>
        <v/>
      </c>
    </row>
    <row r="187">
      <c r="B187" s="32" t="n"/>
      <c r="C187" s="33" t="n"/>
      <c r="D187" s="32" t="n"/>
      <c r="E187" s="34" t="n"/>
      <c r="F187" s="33" t="n"/>
      <c r="G187" s="34" t="n"/>
      <c r="H187" s="33" t="n"/>
      <c r="I187" s="22">
        <f>IF(D187="","",COUNTIFS(LOG_DATE,D187,LOG_STATE,"承認")+COUNTIFS(LOG_DATE,D187,LOG_STATE,"申請中")-IF(G187="却下",0,1))</f>
        <v/>
      </c>
      <c r="J187" s="22">
        <f>IF(D187="","",IFERROR(SUMPRODUCT((INDEX(STAFF_DAYS,0,WEEKDAY(D187,2))="○")*1)-I187-IF(G187="却下",0,1),"日付を確認"))</f>
        <v/>
      </c>
      <c r="K187" s="27">
        <f>IF(D187="","",IFERROR(IF(OR(INDEX(BIZ_DAYS,WEEKDAY(D187,2))="×",COUNTIF(HOLIDAYS,D187)&gt;0),"休業日",IF(J187&lt;MIN_ALL,"要確認","OK")),"日付を確認"))</f>
        <v/>
      </c>
      <c r="L187" s="29">
        <f>IF(AND(G187="承認",C187&lt;&gt;"",D187&lt;&gt;""),C187&amp;"|"&amp;TEXT(D187,"yyyymmdd"),"")</f>
        <v/>
      </c>
      <c r="M187" s="29">
        <f>IF(AND(G187="申請中",C187&lt;&gt;"",D187&lt;&gt;""),C187&amp;"|"&amp;TEXT(D187,"yyyymmdd"),"")</f>
        <v/>
      </c>
    </row>
    <row r="188">
      <c r="B188" s="32" t="n"/>
      <c r="C188" s="33" t="n"/>
      <c r="D188" s="32" t="n"/>
      <c r="E188" s="34" t="n"/>
      <c r="F188" s="33" t="n"/>
      <c r="G188" s="34" t="n"/>
      <c r="H188" s="33" t="n"/>
      <c r="I188" s="22">
        <f>IF(D188="","",COUNTIFS(LOG_DATE,D188,LOG_STATE,"承認")+COUNTIFS(LOG_DATE,D188,LOG_STATE,"申請中")-IF(G188="却下",0,1))</f>
        <v/>
      </c>
      <c r="J188" s="22">
        <f>IF(D188="","",IFERROR(SUMPRODUCT((INDEX(STAFF_DAYS,0,WEEKDAY(D188,2))="○")*1)-I188-IF(G188="却下",0,1),"日付を確認"))</f>
        <v/>
      </c>
      <c r="K188" s="27">
        <f>IF(D188="","",IFERROR(IF(OR(INDEX(BIZ_DAYS,WEEKDAY(D188,2))="×",COUNTIF(HOLIDAYS,D188)&gt;0),"休業日",IF(J188&lt;MIN_ALL,"要確認","OK")),"日付を確認"))</f>
        <v/>
      </c>
      <c r="L188" s="29">
        <f>IF(AND(G188="承認",C188&lt;&gt;"",D188&lt;&gt;""),C188&amp;"|"&amp;TEXT(D188,"yyyymmdd"),"")</f>
        <v/>
      </c>
      <c r="M188" s="29">
        <f>IF(AND(G188="申請中",C188&lt;&gt;"",D188&lt;&gt;""),C188&amp;"|"&amp;TEXT(D188,"yyyymmdd"),"")</f>
        <v/>
      </c>
    </row>
    <row r="189">
      <c r="B189" s="32" t="n"/>
      <c r="C189" s="33" t="n"/>
      <c r="D189" s="32" t="n"/>
      <c r="E189" s="34" t="n"/>
      <c r="F189" s="33" t="n"/>
      <c r="G189" s="34" t="n"/>
      <c r="H189" s="33" t="n"/>
      <c r="I189" s="22">
        <f>IF(D189="","",COUNTIFS(LOG_DATE,D189,LOG_STATE,"承認")+COUNTIFS(LOG_DATE,D189,LOG_STATE,"申請中")-IF(G189="却下",0,1))</f>
        <v/>
      </c>
      <c r="J189" s="22">
        <f>IF(D189="","",IFERROR(SUMPRODUCT((INDEX(STAFF_DAYS,0,WEEKDAY(D189,2))="○")*1)-I189-IF(G189="却下",0,1),"日付を確認"))</f>
        <v/>
      </c>
      <c r="K189" s="27">
        <f>IF(D189="","",IFERROR(IF(OR(INDEX(BIZ_DAYS,WEEKDAY(D189,2))="×",COUNTIF(HOLIDAYS,D189)&gt;0),"休業日",IF(J189&lt;MIN_ALL,"要確認","OK")),"日付を確認"))</f>
        <v/>
      </c>
      <c r="L189" s="29">
        <f>IF(AND(G189="承認",C189&lt;&gt;"",D189&lt;&gt;""),C189&amp;"|"&amp;TEXT(D189,"yyyymmdd"),"")</f>
        <v/>
      </c>
      <c r="M189" s="29">
        <f>IF(AND(G189="申請中",C189&lt;&gt;"",D189&lt;&gt;""),C189&amp;"|"&amp;TEXT(D189,"yyyymmdd"),"")</f>
        <v/>
      </c>
    </row>
    <row r="190">
      <c r="B190" s="32" t="n"/>
      <c r="C190" s="33" t="n"/>
      <c r="D190" s="32" t="n"/>
      <c r="E190" s="34" t="n"/>
      <c r="F190" s="33" t="n"/>
      <c r="G190" s="34" t="n"/>
      <c r="H190" s="33" t="n"/>
      <c r="I190" s="22">
        <f>IF(D190="","",COUNTIFS(LOG_DATE,D190,LOG_STATE,"承認")+COUNTIFS(LOG_DATE,D190,LOG_STATE,"申請中")-IF(G190="却下",0,1))</f>
        <v/>
      </c>
      <c r="J190" s="22">
        <f>IF(D190="","",IFERROR(SUMPRODUCT((INDEX(STAFF_DAYS,0,WEEKDAY(D190,2))="○")*1)-I190-IF(G190="却下",0,1),"日付を確認"))</f>
        <v/>
      </c>
      <c r="K190" s="27">
        <f>IF(D190="","",IFERROR(IF(OR(INDEX(BIZ_DAYS,WEEKDAY(D190,2))="×",COUNTIF(HOLIDAYS,D190)&gt;0),"休業日",IF(J190&lt;MIN_ALL,"要確認","OK")),"日付を確認"))</f>
        <v/>
      </c>
      <c r="L190" s="29">
        <f>IF(AND(G190="承認",C190&lt;&gt;"",D190&lt;&gt;""),C190&amp;"|"&amp;TEXT(D190,"yyyymmdd"),"")</f>
        <v/>
      </c>
      <c r="M190" s="29">
        <f>IF(AND(G190="申請中",C190&lt;&gt;"",D190&lt;&gt;""),C190&amp;"|"&amp;TEXT(D190,"yyyymmdd"),"")</f>
        <v/>
      </c>
    </row>
    <row r="191">
      <c r="B191" s="32" t="n"/>
      <c r="C191" s="33" t="n"/>
      <c r="D191" s="32" t="n"/>
      <c r="E191" s="34" t="n"/>
      <c r="F191" s="33" t="n"/>
      <c r="G191" s="34" t="n"/>
      <c r="H191" s="33" t="n"/>
      <c r="I191" s="22">
        <f>IF(D191="","",COUNTIFS(LOG_DATE,D191,LOG_STATE,"承認")+COUNTIFS(LOG_DATE,D191,LOG_STATE,"申請中")-IF(G191="却下",0,1))</f>
        <v/>
      </c>
      <c r="J191" s="22">
        <f>IF(D191="","",IFERROR(SUMPRODUCT((INDEX(STAFF_DAYS,0,WEEKDAY(D191,2))="○")*1)-I191-IF(G191="却下",0,1),"日付を確認"))</f>
        <v/>
      </c>
      <c r="K191" s="27">
        <f>IF(D191="","",IFERROR(IF(OR(INDEX(BIZ_DAYS,WEEKDAY(D191,2))="×",COUNTIF(HOLIDAYS,D191)&gt;0),"休業日",IF(J191&lt;MIN_ALL,"要確認","OK")),"日付を確認"))</f>
        <v/>
      </c>
      <c r="L191" s="29">
        <f>IF(AND(G191="承認",C191&lt;&gt;"",D191&lt;&gt;""),C191&amp;"|"&amp;TEXT(D191,"yyyymmdd"),"")</f>
        <v/>
      </c>
      <c r="M191" s="29">
        <f>IF(AND(G191="申請中",C191&lt;&gt;"",D191&lt;&gt;""),C191&amp;"|"&amp;TEXT(D191,"yyyymmdd"),"")</f>
        <v/>
      </c>
    </row>
    <row r="192">
      <c r="B192" s="32" t="n"/>
      <c r="C192" s="33" t="n"/>
      <c r="D192" s="32" t="n"/>
      <c r="E192" s="34" t="n"/>
      <c r="F192" s="33" t="n"/>
      <c r="G192" s="34" t="n"/>
      <c r="H192" s="33" t="n"/>
      <c r="I192" s="22">
        <f>IF(D192="","",COUNTIFS(LOG_DATE,D192,LOG_STATE,"承認")+COUNTIFS(LOG_DATE,D192,LOG_STATE,"申請中")-IF(G192="却下",0,1))</f>
        <v/>
      </c>
      <c r="J192" s="22">
        <f>IF(D192="","",IFERROR(SUMPRODUCT((INDEX(STAFF_DAYS,0,WEEKDAY(D192,2))="○")*1)-I192-IF(G192="却下",0,1),"日付を確認"))</f>
        <v/>
      </c>
      <c r="K192" s="27">
        <f>IF(D192="","",IFERROR(IF(OR(INDEX(BIZ_DAYS,WEEKDAY(D192,2))="×",COUNTIF(HOLIDAYS,D192)&gt;0),"休業日",IF(J192&lt;MIN_ALL,"要確認","OK")),"日付を確認"))</f>
        <v/>
      </c>
      <c r="L192" s="29">
        <f>IF(AND(G192="承認",C192&lt;&gt;"",D192&lt;&gt;""),C192&amp;"|"&amp;TEXT(D192,"yyyymmdd"),"")</f>
        <v/>
      </c>
      <c r="M192" s="29">
        <f>IF(AND(G192="申請中",C192&lt;&gt;"",D192&lt;&gt;""),C192&amp;"|"&amp;TEXT(D192,"yyyymmdd"),"")</f>
        <v/>
      </c>
    </row>
    <row r="193">
      <c r="B193" s="32" t="n"/>
      <c r="C193" s="33" t="n"/>
      <c r="D193" s="32" t="n"/>
      <c r="E193" s="34" t="n"/>
      <c r="F193" s="33" t="n"/>
      <c r="G193" s="34" t="n"/>
      <c r="H193" s="33" t="n"/>
      <c r="I193" s="22">
        <f>IF(D193="","",COUNTIFS(LOG_DATE,D193,LOG_STATE,"承認")+COUNTIFS(LOG_DATE,D193,LOG_STATE,"申請中")-IF(G193="却下",0,1))</f>
        <v/>
      </c>
      <c r="J193" s="22">
        <f>IF(D193="","",IFERROR(SUMPRODUCT((INDEX(STAFF_DAYS,0,WEEKDAY(D193,2))="○")*1)-I193-IF(G193="却下",0,1),"日付を確認"))</f>
        <v/>
      </c>
      <c r="K193" s="27">
        <f>IF(D193="","",IFERROR(IF(OR(INDEX(BIZ_DAYS,WEEKDAY(D193,2))="×",COUNTIF(HOLIDAYS,D193)&gt;0),"休業日",IF(J193&lt;MIN_ALL,"要確認","OK")),"日付を確認"))</f>
        <v/>
      </c>
      <c r="L193" s="29">
        <f>IF(AND(G193="承認",C193&lt;&gt;"",D193&lt;&gt;""),C193&amp;"|"&amp;TEXT(D193,"yyyymmdd"),"")</f>
        <v/>
      </c>
      <c r="M193" s="29">
        <f>IF(AND(G193="申請中",C193&lt;&gt;"",D193&lt;&gt;""),C193&amp;"|"&amp;TEXT(D193,"yyyymmdd"),"")</f>
        <v/>
      </c>
    </row>
    <row r="194">
      <c r="B194" s="32" t="n"/>
      <c r="C194" s="33" t="n"/>
      <c r="D194" s="32" t="n"/>
      <c r="E194" s="34" t="n"/>
      <c r="F194" s="33" t="n"/>
      <c r="G194" s="34" t="n"/>
      <c r="H194" s="33" t="n"/>
      <c r="I194" s="22">
        <f>IF(D194="","",COUNTIFS(LOG_DATE,D194,LOG_STATE,"承認")+COUNTIFS(LOG_DATE,D194,LOG_STATE,"申請中")-IF(G194="却下",0,1))</f>
        <v/>
      </c>
      <c r="J194" s="22">
        <f>IF(D194="","",IFERROR(SUMPRODUCT((INDEX(STAFF_DAYS,0,WEEKDAY(D194,2))="○")*1)-I194-IF(G194="却下",0,1),"日付を確認"))</f>
        <v/>
      </c>
      <c r="K194" s="27">
        <f>IF(D194="","",IFERROR(IF(OR(INDEX(BIZ_DAYS,WEEKDAY(D194,2))="×",COUNTIF(HOLIDAYS,D194)&gt;0),"休業日",IF(J194&lt;MIN_ALL,"要確認","OK")),"日付を確認"))</f>
        <v/>
      </c>
      <c r="L194" s="29">
        <f>IF(AND(G194="承認",C194&lt;&gt;"",D194&lt;&gt;""),C194&amp;"|"&amp;TEXT(D194,"yyyymmdd"),"")</f>
        <v/>
      </c>
      <c r="M194" s="29">
        <f>IF(AND(G194="申請中",C194&lt;&gt;"",D194&lt;&gt;""),C194&amp;"|"&amp;TEXT(D194,"yyyymmdd"),"")</f>
        <v/>
      </c>
    </row>
    <row r="195">
      <c r="B195" s="32" t="n"/>
      <c r="C195" s="33" t="n"/>
      <c r="D195" s="32" t="n"/>
      <c r="E195" s="34" t="n"/>
      <c r="F195" s="33" t="n"/>
      <c r="G195" s="34" t="n"/>
      <c r="H195" s="33" t="n"/>
      <c r="I195" s="22">
        <f>IF(D195="","",COUNTIFS(LOG_DATE,D195,LOG_STATE,"承認")+COUNTIFS(LOG_DATE,D195,LOG_STATE,"申請中")-IF(G195="却下",0,1))</f>
        <v/>
      </c>
      <c r="J195" s="22">
        <f>IF(D195="","",IFERROR(SUMPRODUCT((INDEX(STAFF_DAYS,0,WEEKDAY(D195,2))="○")*1)-I195-IF(G195="却下",0,1),"日付を確認"))</f>
        <v/>
      </c>
      <c r="K195" s="27">
        <f>IF(D195="","",IFERROR(IF(OR(INDEX(BIZ_DAYS,WEEKDAY(D195,2))="×",COUNTIF(HOLIDAYS,D195)&gt;0),"休業日",IF(J195&lt;MIN_ALL,"要確認","OK")),"日付を確認"))</f>
        <v/>
      </c>
      <c r="L195" s="29">
        <f>IF(AND(G195="承認",C195&lt;&gt;"",D195&lt;&gt;""),C195&amp;"|"&amp;TEXT(D195,"yyyymmdd"),"")</f>
        <v/>
      </c>
      <c r="M195" s="29">
        <f>IF(AND(G195="申請中",C195&lt;&gt;"",D195&lt;&gt;""),C195&amp;"|"&amp;TEXT(D195,"yyyymmdd"),"")</f>
        <v/>
      </c>
    </row>
    <row r="196">
      <c r="B196" s="32" t="n"/>
      <c r="C196" s="33" t="n"/>
      <c r="D196" s="32" t="n"/>
      <c r="E196" s="34" t="n"/>
      <c r="F196" s="33" t="n"/>
      <c r="G196" s="34" t="n"/>
      <c r="H196" s="33" t="n"/>
      <c r="I196" s="22">
        <f>IF(D196="","",COUNTIFS(LOG_DATE,D196,LOG_STATE,"承認")+COUNTIFS(LOG_DATE,D196,LOG_STATE,"申請中")-IF(G196="却下",0,1))</f>
        <v/>
      </c>
      <c r="J196" s="22">
        <f>IF(D196="","",IFERROR(SUMPRODUCT((INDEX(STAFF_DAYS,0,WEEKDAY(D196,2))="○")*1)-I196-IF(G196="却下",0,1),"日付を確認"))</f>
        <v/>
      </c>
      <c r="K196" s="27">
        <f>IF(D196="","",IFERROR(IF(OR(INDEX(BIZ_DAYS,WEEKDAY(D196,2))="×",COUNTIF(HOLIDAYS,D196)&gt;0),"休業日",IF(J196&lt;MIN_ALL,"要確認","OK")),"日付を確認"))</f>
        <v/>
      </c>
      <c r="L196" s="29">
        <f>IF(AND(G196="承認",C196&lt;&gt;"",D196&lt;&gt;""),C196&amp;"|"&amp;TEXT(D196,"yyyymmdd"),"")</f>
        <v/>
      </c>
      <c r="M196" s="29">
        <f>IF(AND(G196="申請中",C196&lt;&gt;"",D196&lt;&gt;""),C196&amp;"|"&amp;TEXT(D196,"yyyymmdd"),"")</f>
        <v/>
      </c>
    </row>
    <row r="197">
      <c r="B197" s="32" t="n"/>
      <c r="C197" s="33" t="n"/>
      <c r="D197" s="32" t="n"/>
      <c r="E197" s="34" t="n"/>
      <c r="F197" s="33" t="n"/>
      <c r="G197" s="34" t="n"/>
      <c r="H197" s="33" t="n"/>
      <c r="I197" s="22">
        <f>IF(D197="","",COUNTIFS(LOG_DATE,D197,LOG_STATE,"承認")+COUNTIFS(LOG_DATE,D197,LOG_STATE,"申請中")-IF(G197="却下",0,1))</f>
        <v/>
      </c>
      <c r="J197" s="22">
        <f>IF(D197="","",IFERROR(SUMPRODUCT((INDEX(STAFF_DAYS,0,WEEKDAY(D197,2))="○")*1)-I197-IF(G197="却下",0,1),"日付を確認"))</f>
        <v/>
      </c>
      <c r="K197" s="27">
        <f>IF(D197="","",IFERROR(IF(OR(INDEX(BIZ_DAYS,WEEKDAY(D197,2))="×",COUNTIF(HOLIDAYS,D197)&gt;0),"休業日",IF(J197&lt;MIN_ALL,"要確認","OK")),"日付を確認"))</f>
        <v/>
      </c>
      <c r="L197" s="29">
        <f>IF(AND(G197="承認",C197&lt;&gt;"",D197&lt;&gt;""),C197&amp;"|"&amp;TEXT(D197,"yyyymmdd"),"")</f>
        <v/>
      </c>
      <c r="M197" s="29">
        <f>IF(AND(G197="申請中",C197&lt;&gt;"",D197&lt;&gt;""),C197&amp;"|"&amp;TEXT(D197,"yyyymmdd"),"")</f>
        <v/>
      </c>
    </row>
    <row r="198">
      <c r="B198" s="32" t="n"/>
      <c r="C198" s="33" t="n"/>
      <c r="D198" s="32" t="n"/>
      <c r="E198" s="34" t="n"/>
      <c r="F198" s="33" t="n"/>
      <c r="G198" s="34" t="n"/>
      <c r="H198" s="33" t="n"/>
      <c r="I198" s="22">
        <f>IF(D198="","",COUNTIFS(LOG_DATE,D198,LOG_STATE,"承認")+COUNTIFS(LOG_DATE,D198,LOG_STATE,"申請中")-IF(G198="却下",0,1))</f>
        <v/>
      </c>
      <c r="J198" s="22">
        <f>IF(D198="","",IFERROR(SUMPRODUCT((INDEX(STAFF_DAYS,0,WEEKDAY(D198,2))="○")*1)-I198-IF(G198="却下",0,1),"日付を確認"))</f>
        <v/>
      </c>
      <c r="K198" s="27">
        <f>IF(D198="","",IFERROR(IF(OR(INDEX(BIZ_DAYS,WEEKDAY(D198,2))="×",COUNTIF(HOLIDAYS,D198)&gt;0),"休業日",IF(J198&lt;MIN_ALL,"要確認","OK")),"日付を確認"))</f>
        <v/>
      </c>
      <c r="L198" s="29">
        <f>IF(AND(G198="承認",C198&lt;&gt;"",D198&lt;&gt;""),C198&amp;"|"&amp;TEXT(D198,"yyyymmdd"),"")</f>
        <v/>
      </c>
      <c r="M198" s="29">
        <f>IF(AND(G198="申請中",C198&lt;&gt;"",D198&lt;&gt;""),C198&amp;"|"&amp;TEXT(D198,"yyyymmdd"),"")</f>
        <v/>
      </c>
    </row>
    <row r="199">
      <c r="B199" s="32" t="n"/>
      <c r="C199" s="33" t="n"/>
      <c r="D199" s="32" t="n"/>
      <c r="E199" s="34" t="n"/>
      <c r="F199" s="33" t="n"/>
      <c r="G199" s="34" t="n"/>
      <c r="H199" s="33" t="n"/>
      <c r="I199" s="22">
        <f>IF(D199="","",COUNTIFS(LOG_DATE,D199,LOG_STATE,"承認")+COUNTIFS(LOG_DATE,D199,LOG_STATE,"申請中")-IF(G199="却下",0,1))</f>
        <v/>
      </c>
      <c r="J199" s="22">
        <f>IF(D199="","",IFERROR(SUMPRODUCT((INDEX(STAFF_DAYS,0,WEEKDAY(D199,2))="○")*1)-I199-IF(G199="却下",0,1),"日付を確認"))</f>
        <v/>
      </c>
      <c r="K199" s="27">
        <f>IF(D199="","",IFERROR(IF(OR(INDEX(BIZ_DAYS,WEEKDAY(D199,2))="×",COUNTIF(HOLIDAYS,D199)&gt;0),"休業日",IF(J199&lt;MIN_ALL,"要確認","OK")),"日付を確認"))</f>
        <v/>
      </c>
      <c r="L199" s="29">
        <f>IF(AND(G199="承認",C199&lt;&gt;"",D199&lt;&gt;""),C199&amp;"|"&amp;TEXT(D199,"yyyymmdd"),"")</f>
        <v/>
      </c>
      <c r="M199" s="29">
        <f>IF(AND(G199="申請中",C199&lt;&gt;"",D199&lt;&gt;""),C199&amp;"|"&amp;TEXT(D199,"yyyymmdd"),"")</f>
        <v/>
      </c>
    </row>
    <row r="200">
      <c r="B200" s="32" t="n"/>
      <c r="C200" s="33" t="n"/>
      <c r="D200" s="32" t="n"/>
      <c r="E200" s="34" t="n"/>
      <c r="F200" s="33" t="n"/>
      <c r="G200" s="34" t="n"/>
      <c r="H200" s="33" t="n"/>
      <c r="I200" s="22">
        <f>IF(D200="","",COUNTIFS(LOG_DATE,D200,LOG_STATE,"承認")+COUNTIFS(LOG_DATE,D200,LOG_STATE,"申請中")-IF(G200="却下",0,1))</f>
        <v/>
      </c>
      <c r="J200" s="22">
        <f>IF(D200="","",IFERROR(SUMPRODUCT((INDEX(STAFF_DAYS,0,WEEKDAY(D200,2))="○")*1)-I200-IF(G200="却下",0,1),"日付を確認"))</f>
        <v/>
      </c>
      <c r="K200" s="27">
        <f>IF(D200="","",IFERROR(IF(OR(INDEX(BIZ_DAYS,WEEKDAY(D200,2))="×",COUNTIF(HOLIDAYS,D200)&gt;0),"休業日",IF(J200&lt;MIN_ALL,"要確認","OK")),"日付を確認"))</f>
        <v/>
      </c>
      <c r="L200" s="29">
        <f>IF(AND(G200="承認",C200&lt;&gt;"",D200&lt;&gt;""),C200&amp;"|"&amp;TEXT(D200,"yyyymmdd"),"")</f>
        <v/>
      </c>
      <c r="M200" s="29">
        <f>IF(AND(G200="申請中",C200&lt;&gt;"",D200&lt;&gt;""),C200&amp;"|"&amp;TEXT(D200,"yyyymmdd"),"")</f>
        <v/>
      </c>
    </row>
    <row r="201">
      <c r="B201" s="32" t="n"/>
      <c r="C201" s="33" t="n"/>
      <c r="D201" s="32" t="n"/>
      <c r="E201" s="34" t="n"/>
      <c r="F201" s="33" t="n"/>
      <c r="G201" s="34" t="n"/>
      <c r="H201" s="33" t="n"/>
      <c r="I201" s="22">
        <f>IF(D201="","",COUNTIFS(LOG_DATE,D201,LOG_STATE,"承認")+COUNTIFS(LOG_DATE,D201,LOG_STATE,"申請中")-IF(G201="却下",0,1))</f>
        <v/>
      </c>
      <c r="J201" s="22">
        <f>IF(D201="","",IFERROR(SUMPRODUCT((INDEX(STAFF_DAYS,0,WEEKDAY(D201,2))="○")*1)-I201-IF(G201="却下",0,1),"日付を確認"))</f>
        <v/>
      </c>
      <c r="K201" s="27">
        <f>IF(D201="","",IFERROR(IF(OR(INDEX(BIZ_DAYS,WEEKDAY(D201,2))="×",COUNTIF(HOLIDAYS,D201)&gt;0),"休業日",IF(J201&lt;MIN_ALL,"要確認","OK")),"日付を確認"))</f>
        <v/>
      </c>
      <c r="L201" s="29">
        <f>IF(AND(G201="承認",C201&lt;&gt;"",D201&lt;&gt;""),C201&amp;"|"&amp;TEXT(D201,"yyyymmdd"),"")</f>
        <v/>
      </c>
      <c r="M201" s="29">
        <f>IF(AND(G201="申請中",C201&lt;&gt;"",D201&lt;&gt;""),C201&amp;"|"&amp;TEXT(D201,"yyyymmdd"),"")</f>
        <v/>
      </c>
    </row>
    <row r="202">
      <c r="B202" s="32" t="n"/>
      <c r="C202" s="33" t="n"/>
      <c r="D202" s="32" t="n"/>
      <c r="E202" s="34" t="n"/>
      <c r="F202" s="33" t="n"/>
      <c r="G202" s="34" t="n"/>
      <c r="H202" s="33" t="n"/>
      <c r="I202" s="22">
        <f>IF(D202="","",COUNTIFS(LOG_DATE,D202,LOG_STATE,"承認")+COUNTIFS(LOG_DATE,D202,LOG_STATE,"申請中")-IF(G202="却下",0,1))</f>
        <v/>
      </c>
      <c r="J202" s="22">
        <f>IF(D202="","",IFERROR(SUMPRODUCT((INDEX(STAFF_DAYS,0,WEEKDAY(D202,2))="○")*1)-I202-IF(G202="却下",0,1),"日付を確認"))</f>
        <v/>
      </c>
      <c r="K202" s="27">
        <f>IF(D202="","",IFERROR(IF(OR(INDEX(BIZ_DAYS,WEEKDAY(D202,2))="×",COUNTIF(HOLIDAYS,D202)&gt;0),"休業日",IF(J202&lt;MIN_ALL,"要確認","OK")),"日付を確認"))</f>
        <v/>
      </c>
      <c r="L202" s="29">
        <f>IF(AND(G202="承認",C202&lt;&gt;"",D202&lt;&gt;""),C202&amp;"|"&amp;TEXT(D202,"yyyymmdd"),"")</f>
        <v/>
      </c>
      <c r="M202" s="29">
        <f>IF(AND(G202="申請中",C202&lt;&gt;"",D202&lt;&gt;""),C202&amp;"|"&amp;TEXT(D202,"yyyymmdd"),"")</f>
        <v/>
      </c>
    </row>
    <row r="203">
      <c r="B203" s="32" t="n"/>
      <c r="C203" s="33" t="n"/>
      <c r="D203" s="32" t="n"/>
      <c r="E203" s="34" t="n"/>
      <c r="F203" s="33" t="n"/>
      <c r="G203" s="34" t="n"/>
      <c r="H203" s="33" t="n"/>
      <c r="I203" s="22">
        <f>IF(D203="","",COUNTIFS(LOG_DATE,D203,LOG_STATE,"承認")+COUNTIFS(LOG_DATE,D203,LOG_STATE,"申請中")-IF(G203="却下",0,1))</f>
        <v/>
      </c>
      <c r="J203" s="22">
        <f>IF(D203="","",IFERROR(SUMPRODUCT((INDEX(STAFF_DAYS,0,WEEKDAY(D203,2))="○")*1)-I203-IF(G203="却下",0,1),"日付を確認"))</f>
        <v/>
      </c>
      <c r="K203" s="27">
        <f>IF(D203="","",IFERROR(IF(OR(INDEX(BIZ_DAYS,WEEKDAY(D203,2))="×",COUNTIF(HOLIDAYS,D203)&gt;0),"休業日",IF(J203&lt;MIN_ALL,"要確認","OK")),"日付を確認"))</f>
        <v/>
      </c>
      <c r="L203" s="29">
        <f>IF(AND(G203="承認",C203&lt;&gt;"",D203&lt;&gt;""),C203&amp;"|"&amp;TEXT(D203,"yyyymmdd"),"")</f>
        <v/>
      </c>
      <c r="M203" s="29">
        <f>IF(AND(G203="申請中",C203&lt;&gt;"",D203&lt;&gt;""),C203&amp;"|"&amp;TEXT(D203,"yyyymmdd"),"")</f>
        <v/>
      </c>
    </row>
    <row r="204">
      <c r="B204" s="32" t="n"/>
      <c r="C204" s="33" t="n"/>
      <c r="D204" s="32" t="n"/>
      <c r="E204" s="34" t="n"/>
      <c r="F204" s="33" t="n"/>
      <c r="G204" s="34" t="n"/>
      <c r="H204" s="33" t="n"/>
      <c r="I204" s="22">
        <f>IF(D204="","",COUNTIFS(LOG_DATE,D204,LOG_STATE,"承認")+COUNTIFS(LOG_DATE,D204,LOG_STATE,"申請中")-IF(G204="却下",0,1))</f>
        <v/>
      </c>
      <c r="J204" s="22">
        <f>IF(D204="","",IFERROR(SUMPRODUCT((INDEX(STAFF_DAYS,0,WEEKDAY(D204,2))="○")*1)-I204-IF(G204="却下",0,1),"日付を確認"))</f>
        <v/>
      </c>
      <c r="K204" s="27">
        <f>IF(D204="","",IFERROR(IF(OR(INDEX(BIZ_DAYS,WEEKDAY(D204,2))="×",COUNTIF(HOLIDAYS,D204)&gt;0),"休業日",IF(J204&lt;MIN_ALL,"要確認","OK")),"日付を確認"))</f>
        <v/>
      </c>
      <c r="L204" s="29">
        <f>IF(AND(G204="承認",C204&lt;&gt;"",D204&lt;&gt;""),C204&amp;"|"&amp;TEXT(D204,"yyyymmdd"),"")</f>
        <v/>
      </c>
      <c r="M204" s="29">
        <f>IF(AND(G204="申請中",C204&lt;&gt;"",D204&lt;&gt;""),C204&amp;"|"&amp;TEXT(D204,"yyyymmdd"),"")</f>
        <v/>
      </c>
    </row>
  </sheetData>
  <autoFilter ref="B4:M204"/>
  <conditionalFormatting sqref="K5:K204">
    <cfRule type="cellIs" priority="1" operator="equal" dxfId="10">
      <formula>"要確認"</formula>
    </cfRule>
    <cfRule type="cellIs" priority="2" operator="equal" dxfId="9">
      <formula>"OK"</formula>
    </cfRule>
  </conditionalFormatting>
  <conditionalFormatting sqref="G5:G204">
    <cfRule type="cellIs" priority="3" operator="equal" dxfId="3">
      <formula>"申請中"</formula>
    </cfRule>
    <cfRule type="cellIs" priority="4" operator="equal" dxfId="9">
      <formula>"承認"</formula>
    </cfRule>
    <cfRule type="cellIs" priority="5" operator="equal" dxfId="0">
      <formula>"却下"</formula>
    </cfRule>
  </conditionalFormatting>
  <dataValidations count="4">
    <dataValidation sqref="C5:C204" showDropDown="0" showInputMessage="0" showErrorMessage="0" allowBlank="1" type="list">
      <formula1>=STAFF_NAMES</formula1>
    </dataValidation>
    <dataValidation sqref="E5:E204" showDropDown="0" showInputMessage="0" showErrorMessage="0" allowBlank="1" type="list">
      <formula1>=設定!$B$30:$B$38</formula1>
    </dataValidation>
    <dataValidation sqref="G5:G204" showDropDown="0" showInputMessage="0" showErrorMessage="0" allowBlank="1" type="list">
      <formula1>"申請中,承認,却下"</formula1>
    </dataValidation>
    <dataValidation sqref="B5:B204 D5:D204" showDropDown="0" showInputMessage="0" showErrorMessage="1" allowBlank="1" error="日付を 2026/9/10 の形式で入力してください" type="date" operator="greaterThan">
      <formula1>40000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J10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14" customWidth="1" min="2" max="2"/>
    <col width="9" customWidth="1" min="3" max="3"/>
    <col width="14" customWidth="1" min="4" max="4"/>
    <col width="9" customWidth="1" min="5" max="5"/>
    <col width="9" customWidth="1" min="6" max="6"/>
    <col width="12" customWidth="1" min="7" max="7"/>
    <col width="12" customWidth="1" min="8" max="8"/>
    <col width="14" customWidth="1" min="9" max="9"/>
    <col width="30" customWidth="1" min="10" max="10"/>
  </cols>
  <sheetData>
    <row r="1">
      <c r="B1" s="1" t="inlineStr">
        <is>
          <t>有給管理（自動集計）</t>
        </is>
      </c>
    </row>
    <row r="2">
      <c r="B2" s="2" t="inlineStr">
        <is>
          <t>承認済みの「有」「午前」「午後」を基準日以降で数える。派遣の残数は派遣元が管理するため、ここでは取得日数の把握のみ。</t>
        </is>
      </c>
    </row>
    <row r="4" ht="30" customHeight="1">
      <c r="B4" s="13" t="inlineStr">
        <is>
          <t>氏名</t>
        </is>
      </c>
      <c r="C4" s="13" t="inlineStr">
        <is>
          <t>区分</t>
        </is>
      </c>
      <c r="D4" s="13" t="inlineStr">
        <is>
          <t>基準日（付与日）</t>
        </is>
      </c>
      <c r="E4" s="13" t="inlineStr">
        <is>
          <t>付与日数</t>
        </is>
      </c>
      <c r="F4" s="13" t="inlineStr">
        <is>
          <t>繰越日数</t>
        </is>
      </c>
      <c r="G4" s="13" t="inlineStr">
        <is>
          <t>取得日数（承認済）</t>
        </is>
      </c>
      <c r="H4" s="13" t="inlineStr">
        <is>
          <t>残日数</t>
        </is>
      </c>
      <c r="I4" s="13" t="inlineStr">
        <is>
          <t>年5日取得義務</t>
        </is>
      </c>
      <c r="J4" s="13" t="inlineStr">
        <is>
          <t>備考</t>
        </is>
      </c>
    </row>
    <row r="5">
      <c r="B5" s="19">
        <f>設定!B5</f>
        <v/>
      </c>
      <c r="C5" s="20">
        <f>設定!C5</f>
        <v/>
      </c>
      <c r="D5" s="32" t="n">
        <v>46113</v>
      </c>
      <c r="E5" s="35" t="n">
        <v>10</v>
      </c>
      <c r="F5" s="35" t="n">
        <v>0</v>
      </c>
      <c r="G5" s="23">
        <f>IF(B5="","",COUNTIFS(LOG_NAME,B5,LOG_DATE,"&gt;="&amp;IF(D5="",0,D5),LOG_SYM,"有",LOG_STATE,"承認")+0.5*(COUNTIFS(LOG_NAME,B5,LOG_DATE,"&gt;="&amp;IF(D5="",0,D5),LOG_SYM,"午前",LOG_STATE,"承認")+COUNTIFS(LOG_NAME,B5,LOG_DATE,"&gt;="&amp;IF(D5="",0,D5),LOG_SYM,"午後",LOG_STATE,"承認")))</f>
        <v/>
      </c>
      <c r="H5" s="23">
        <f>IF(B5="","",IF(C5="派遣","派遣元で管理",E5+F5-G5))</f>
        <v/>
      </c>
      <c r="I5" s="22">
        <f>IF(B5="","",IF(C5="派遣","対象外（派遣元）",IF(E5&gt;=10,IF(G5&gt;=5,"達成","あと"&amp;(5-G5)&amp;"日"),"対象外")))</f>
        <v/>
      </c>
      <c r="J5" s="36" t="inlineStr">
        <is>
          <t>付与日数・繰越は例。実際の値に直す。</t>
        </is>
      </c>
    </row>
    <row r="6">
      <c r="B6" s="19">
        <f>設定!B6</f>
        <v/>
      </c>
      <c r="C6" s="20">
        <f>設定!C6</f>
        <v/>
      </c>
      <c r="D6" s="32" t="n">
        <v>46113</v>
      </c>
      <c r="E6" s="35" t="n">
        <v>11</v>
      </c>
      <c r="F6" s="35" t="n">
        <v>3</v>
      </c>
      <c r="G6" s="23">
        <f>IF(B6="","",COUNTIFS(LOG_NAME,B6,LOG_DATE,"&gt;="&amp;IF(D6="",0,D6),LOG_SYM,"有",LOG_STATE,"承認")+0.5*(COUNTIFS(LOG_NAME,B6,LOG_DATE,"&gt;="&amp;IF(D6="",0,D6),LOG_SYM,"午前",LOG_STATE,"承認")+COUNTIFS(LOG_NAME,B6,LOG_DATE,"&gt;="&amp;IF(D6="",0,D6),LOG_SYM,"午後",LOG_STATE,"承認")))</f>
        <v/>
      </c>
      <c r="H6" s="23">
        <f>IF(B6="","",IF(C6="派遣","派遣元で管理",E6+F6-G6))</f>
        <v/>
      </c>
      <c r="I6" s="22">
        <f>IF(B6="","",IF(C6="派遣","対象外（派遣元）",IF(E6&gt;=10,IF(G6&gt;=5,"達成","あと"&amp;(5-G6)&amp;"日"),"対象外")))</f>
        <v/>
      </c>
      <c r="J6" s="36" t="inlineStr"/>
    </row>
    <row r="7">
      <c r="B7" s="19">
        <f>設定!B7</f>
        <v/>
      </c>
      <c r="C7" s="20">
        <f>設定!C7</f>
        <v/>
      </c>
      <c r="D7" s="32" t="n"/>
      <c r="E7" s="35" t="n"/>
      <c r="F7" s="35" t="n"/>
      <c r="G7" s="23">
        <f>IF(B7="","",COUNTIFS(LOG_NAME,B7,LOG_DATE,"&gt;="&amp;IF(D7="",0,D7),LOG_SYM,"有",LOG_STATE,"承認")+0.5*(COUNTIFS(LOG_NAME,B7,LOG_DATE,"&gt;="&amp;IF(D7="",0,D7),LOG_SYM,"午前",LOG_STATE,"承認")+COUNTIFS(LOG_NAME,B7,LOG_DATE,"&gt;="&amp;IF(D7="",0,D7),LOG_SYM,"午後",LOG_STATE,"承認")))</f>
        <v/>
      </c>
      <c r="H7" s="23">
        <f>IF(B7="","",IF(C7="派遣","派遣元で管理",E7+F7-G7))</f>
        <v/>
      </c>
      <c r="I7" s="22">
        <f>IF(B7="","",IF(C7="派遣","対象外（派遣元）",IF(E7&gt;=10,IF(G7&gt;=5,"達成","あと"&amp;(5-G7)&amp;"日"),"対象外")))</f>
        <v/>
      </c>
      <c r="J7" s="36" t="inlineStr"/>
    </row>
    <row r="8">
      <c r="B8" s="19">
        <f>設定!B8</f>
        <v/>
      </c>
      <c r="C8" s="20">
        <f>設定!C8</f>
        <v/>
      </c>
      <c r="D8" s="32" t="n"/>
      <c r="E8" s="35" t="n"/>
      <c r="F8" s="35" t="n"/>
      <c r="G8" s="23">
        <f>IF(B8="","",COUNTIFS(LOG_NAME,B8,LOG_DATE,"&gt;="&amp;IF(D8="",0,D8),LOG_SYM,"有",LOG_STATE,"承認")+0.5*(COUNTIFS(LOG_NAME,B8,LOG_DATE,"&gt;="&amp;IF(D8="",0,D8),LOG_SYM,"午前",LOG_STATE,"承認")+COUNTIFS(LOG_NAME,B8,LOG_DATE,"&gt;="&amp;IF(D8="",0,D8),LOG_SYM,"午後",LOG_STATE,"承認")))</f>
        <v/>
      </c>
      <c r="H8" s="23">
        <f>IF(B8="","",IF(C8="派遣","派遣元で管理",E8+F8-G8))</f>
        <v/>
      </c>
      <c r="I8" s="22">
        <f>IF(B8="","",IF(C8="派遣","対象外（派遣元）",IF(E8&gt;=10,IF(G8&gt;=5,"達成","あと"&amp;(5-G8)&amp;"日"),"対象外")))</f>
        <v/>
      </c>
      <c r="J8" s="36" t="inlineStr"/>
    </row>
    <row r="9">
      <c r="B9" s="19">
        <f>設定!B9</f>
        <v/>
      </c>
      <c r="C9" s="20">
        <f>設定!C9</f>
        <v/>
      </c>
      <c r="D9" s="32" t="n"/>
      <c r="E9" s="35" t="n"/>
      <c r="F9" s="35" t="n"/>
      <c r="G9" s="23">
        <f>IF(B9="","",COUNTIFS(LOG_NAME,B9,LOG_DATE,"&gt;="&amp;IF(D9="",0,D9),LOG_SYM,"有",LOG_STATE,"承認")+0.5*(COUNTIFS(LOG_NAME,B9,LOG_DATE,"&gt;="&amp;IF(D9="",0,D9),LOG_SYM,"午前",LOG_STATE,"承認")+COUNTIFS(LOG_NAME,B9,LOG_DATE,"&gt;="&amp;IF(D9="",0,D9),LOG_SYM,"午後",LOG_STATE,"承認")))</f>
        <v/>
      </c>
      <c r="H9" s="23">
        <f>IF(B9="","",IF(C9="派遣","派遣元で管理",E9+F9-G9))</f>
        <v/>
      </c>
      <c r="I9" s="22">
        <f>IF(B9="","",IF(C9="派遣","対象外（派遣元）",IF(E9&gt;=10,IF(G9&gt;=5,"達成","あと"&amp;(5-G9)&amp;"日"),"対象外")))</f>
        <v/>
      </c>
      <c r="J9" s="36" t="inlineStr"/>
    </row>
    <row r="10">
      <c r="B10" s="19">
        <f>設定!B10</f>
        <v/>
      </c>
      <c r="C10" s="20">
        <f>設定!C10</f>
        <v/>
      </c>
      <c r="D10" s="32" t="n"/>
      <c r="E10" s="35" t="n"/>
      <c r="F10" s="35" t="n"/>
      <c r="G10" s="23">
        <f>IF(B10="","",COUNTIFS(LOG_NAME,B10,LOG_DATE,"&gt;="&amp;IF(D10="",0,D10),LOG_SYM,"有",LOG_STATE,"承認")+0.5*(COUNTIFS(LOG_NAME,B10,LOG_DATE,"&gt;="&amp;IF(D10="",0,D10),LOG_SYM,"午前",LOG_STATE,"承認")+COUNTIFS(LOG_NAME,B10,LOG_DATE,"&gt;="&amp;IF(D10="",0,D10),LOG_SYM,"午後",LOG_STATE,"承認")))</f>
        <v/>
      </c>
      <c r="H10" s="23">
        <f>IF(B10="","",IF(C10="派遣","派遣元で管理",E10+F10-G10))</f>
        <v/>
      </c>
      <c r="I10" s="22">
        <f>IF(B10="","",IF(C10="派遣","対象外（派遣元）",IF(E10&gt;=10,IF(G10&gt;=5,"達成","あと"&amp;(5-G10)&amp;"日"),"対象外")))</f>
        <v/>
      </c>
      <c r="J10" s="36" t="inlineStr"/>
    </row>
  </sheetData>
  <conditionalFormatting sqref="I5:I10">
    <cfRule type="expression" priority="1" dxfId="10">
      <formula>LEFT(I5,2)="あと"</formula>
    </cfRule>
    <cfRule type="cellIs" priority="2" operator="equal" dxfId="9">
      <formula>"達成"</formula>
    </cfRule>
  </conditionalFormatting>
  <conditionalFormatting sqref="H5:H10">
    <cfRule type="expression" priority="3" dxfId="11">
      <formula>AND(ISNUMBER(H5),H5&lt;=2)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1:O80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14" customWidth="1" min="2" max="2"/>
    <col width="10" customWidth="1" min="3" max="3"/>
    <col width="5" customWidth="1" min="4" max="4"/>
    <col width="5" customWidth="1" min="5" max="5"/>
    <col width="5" customWidth="1" min="6" max="6"/>
    <col width="5" customWidth="1" min="7" max="7"/>
    <col width="5" customWidth="1" min="8" max="8"/>
    <col width="5" customWidth="1" min="9" max="9"/>
    <col width="5" customWidth="1" min="10" max="10"/>
    <col width="24" customWidth="1" min="11" max="11"/>
    <col width="3" customWidth="1" min="12" max="12"/>
    <col width="3" customWidth="1" min="13" max="13"/>
    <col width="14" customWidth="1" min="14" max="14"/>
    <col width="22" customWidth="1" min="15" max="15"/>
  </cols>
  <sheetData>
    <row r="1">
      <c r="B1" s="1" t="inlineStr">
        <is>
          <t>設定</t>
        </is>
      </c>
    </row>
    <row r="2">
      <c r="B2" s="2" t="inlineStr">
        <is>
          <t>黄色のセルを編集する。メンバーは最大6名まで。</t>
        </is>
      </c>
    </row>
    <row r="3">
      <c r="B3" s="37" t="inlineStr">
        <is>
          <t>メンバー（氏名・区分・勤務曜日）</t>
        </is>
      </c>
      <c r="N3" s="37" t="inlineStr">
        <is>
          <t>祝日・会社休業日（追加可）</t>
        </is>
      </c>
    </row>
    <row r="4">
      <c r="B4" s="13" t="inlineStr">
        <is>
          <t>氏名</t>
        </is>
      </c>
      <c r="C4" s="13" t="inlineStr">
        <is>
          <t>区分</t>
        </is>
      </c>
      <c r="D4" s="13" t="inlineStr">
        <is>
          <t>月</t>
        </is>
      </c>
      <c r="E4" s="13" t="inlineStr">
        <is>
          <t>火</t>
        </is>
      </c>
      <c r="F4" s="13" t="inlineStr">
        <is>
          <t>水</t>
        </is>
      </c>
      <c r="G4" s="13" t="inlineStr">
        <is>
          <t>木</t>
        </is>
      </c>
      <c r="H4" s="13" t="inlineStr">
        <is>
          <t>金</t>
        </is>
      </c>
      <c r="I4" s="13" t="inlineStr">
        <is>
          <t>土</t>
        </is>
      </c>
      <c r="J4" s="13" t="inlineStr">
        <is>
          <t>日</t>
        </is>
      </c>
      <c r="K4" s="13" t="inlineStr">
        <is>
          <t>備考</t>
        </is>
      </c>
      <c r="N4" s="13" t="inlineStr">
        <is>
          <t>日付</t>
        </is>
      </c>
      <c r="O4" s="13" t="inlineStr">
        <is>
          <t>名称</t>
        </is>
      </c>
    </row>
    <row r="5">
      <c r="B5" s="33" t="inlineStr">
        <is>
          <t>正社員A</t>
        </is>
      </c>
      <c r="C5" s="34" t="inlineStr">
        <is>
          <t>正社員</t>
        </is>
      </c>
      <c r="D5" s="34" t="inlineStr">
        <is>
          <t>○</t>
        </is>
      </c>
      <c r="E5" s="34" t="inlineStr">
        <is>
          <t>○</t>
        </is>
      </c>
      <c r="F5" s="34" t="inlineStr">
        <is>
          <t>○</t>
        </is>
      </c>
      <c r="G5" s="34" t="inlineStr">
        <is>
          <t>○</t>
        </is>
      </c>
      <c r="H5" s="34" t="inlineStr">
        <is>
          <t>○</t>
        </is>
      </c>
      <c r="I5" s="34" t="inlineStr">
        <is>
          <t>×</t>
        </is>
      </c>
      <c r="J5" s="34" t="inlineStr">
        <is>
          <t>×</t>
        </is>
      </c>
      <c r="K5" s="36" t="inlineStr">
        <is>
          <t>氏名を書き換える</t>
        </is>
      </c>
      <c r="N5" s="32" t="n">
        <v>46286</v>
      </c>
      <c r="O5" s="33" t="inlineStr">
        <is>
          <t>敬老の日</t>
        </is>
      </c>
    </row>
    <row r="6">
      <c r="B6" s="33" t="inlineStr">
        <is>
          <t>正社員B</t>
        </is>
      </c>
      <c r="C6" s="34" t="inlineStr">
        <is>
          <t>正社員</t>
        </is>
      </c>
      <c r="D6" s="34" t="inlineStr">
        <is>
          <t>○</t>
        </is>
      </c>
      <c r="E6" s="34" t="inlineStr">
        <is>
          <t>○</t>
        </is>
      </c>
      <c r="F6" s="34" t="inlineStr">
        <is>
          <t>○</t>
        </is>
      </c>
      <c r="G6" s="34" t="inlineStr">
        <is>
          <t>○</t>
        </is>
      </c>
      <c r="H6" s="34" t="inlineStr">
        <is>
          <t>○</t>
        </is>
      </c>
      <c r="I6" s="34" t="inlineStr">
        <is>
          <t>×</t>
        </is>
      </c>
      <c r="J6" s="34" t="inlineStr">
        <is>
          <t>×</t>
        </is>
      </c>
      <c r="K6" s="36" t="inlineStr"/>
      <c r="N6" s="32" t="n">
        <v>46287</v>
      </c>
      <c r="O6" s="33" t="inlineStr">
        <is>
          <t>国民の休日</t>
        </is>
      </c>
    </row>
    <row r="7">
      <c r="B7" s="33" t="inlineStr">
        <is>
          <t>派遣A</t>
        </is>
      </c>
      <c r="C7" s="34" t="inlineStr">
        <is>
          <t>派遣</t>
        </is>
      </c>
      <c r="D7" s="34" t="inlineStr">
        <is>
          <t>○</t>
        </is>
      </c>
      <c r="E7" s="34" t="inlineStr">
        <is>
          <t>○</t>
        </is>
      </c>
      <c r="F7" s="34" t="inlineStr">
        <is>
          <t>○</t>
        </is>
      </c>
      <c r="G7" s="34" t="inlineStr">
        <is>
          <t>○</t>
        </is>
      </c>
      <c r="H7" s="34" t="inlineStr">
        <is>
          <t>○</t>
        </is>
      </c>
      <c r="I7" s="34" t="inlineStr">
        <is>
          <t>×</t>
        </is>
      </c>
      <c r="J7" s="34" t="inlineStr">
        <is>
          <t>×</t>
        </is>
      </c>
      <c r="K7" s="36" t="inlineStr">
        <is>
          <t>契約勤務日に合わせて○×を直す</t>
        </is>
      </c>
      <c r="N7" s="32" t="n">
        <v>46288</v>
      </c>
      <c r="O7" s="33" t="inlineStr">
        <is>
          <t>秋分の日</t>
        </is>
      </c>
    </row>
    <row r="8">
      <c r="B8" s="33" t="inlineStr">
        <is>
          <t>派遣B</t>
        </is>
      </c>
      <c r="C8" s="34" t="inlineStr">
        <is>
          <t>派遣</t>
        </is>
      </c>
      <c r="D8" s="34" t="inlineStr">
        <is>
          <t>○</t>
        </is>
      </c>
      <c r="E8" s="34" t="inlineStr">
        <is>
          <t>○</t>
        </is>
      </c>
      <c r="F8" s="34" t="inlineStr">
        <is>
          <t>○</t>
        </is>
      </c>
      <c r="G8" s="34" t="inlineStr">
        <is>
          <t>○</t>
        </is>
      </c>
      <c r="H8" s="34" t="inlineStr">
        <is>
          <t>○</t>
        </is>
      </c>
      <c r="I8" s="34" t="inlineStr">
        <is>
          <t>×</t>
        </is>
      </c>
      <c r="J8" s="34" t="inlineStr">
        <is>
          <t>×</t>
        </is>
      </c>
      <c r="K8" s="36" t="inlineStr"/>
      <c r="N8" s="32" t="n">
        <v>46307</v>
      </c>
      <c r="O8" s="33" t="inlineStr">
        <is>
          <t>スポーツの日</t>
        </is>
      </c>
    </row>
    <row r="9">
      <c r="B9" s="33" t="inlineStr"/>
      <c r="C9" s="34" t="inlineStr"/>
      <c r="D9" s="34" t="inlineStr"/>
      <c r="E9" s="34" t="inlineStr"/>
      <c r="F9" s="34" t="inlineStr"/>
      <c r="G9" s="34" t="inlineStr"/>
      <c r="H9" s="34" t="inlineStr"/>
      <c r="I9" s="34" t="inlineStr"/>
      <c r="J9" s="34" t="inlineStr"/>
      <c r="K9" s="36" t="inlineStr"/>
      <c r="N9" s="32" t="n">
        <v>46329</v>
      </c>
      <c r="O9" s="33" t="inlineStr">
        <is>
          <t>文化の日</t>
        </is>
      </c>
    </row>
    <row r="10">
      <c r="B10" s="33" t="inlineStr"/>
      <c r="C10" s="34" t="inlineStr"/>
      <c r="D10" s="34" t="inlineStr"/>
      <c r="E10" s="34" t="inlineStr"/>
      <c r="F10" s="34" t="inlineStr"/>
      <c r="G10" s="34" t="inlineStr"/>
      <c r="H10" s="34" t="inlineStr"/>
      <c r="I10" s="34" t="inlineStr"/>
      <c r="J10" s="34" t="inlineStr"/>
      <c r="K10" s="36" t="inlineStr"/>
      <c r="N10" s="32" t="n">
        <v>46349</v>
      </c>
      <c r="O10" s="33" t="inlineStr">
        <is>
          <t>勤労感謝の日</t>
        </is>
      </c>
    </row>
    <row r="11">
      <c r="N11" s="32" t="n">
        <v>46385</v>
      </c>
      <c r="O11" s="33" t="inlineStr">
        <is>
          <t>年末休業（例）</t>
        </is>
      </c>
    </row>
    <row r="12">
      <c r="B12" s="37" t="inlineStr">
        <is>
          <t>ルール（人数の下限）</t>
        </is>
      </c>
      <c r="N12" s="32" t="n">
        <v>46386</v>
      </c>
      <c r="O12" s="33" t="inlineStr">
        <is>
          <t>年末休業（例）</t>
        </is>
      </c>
    </row>
    <row r="13">
      <c r="B13" s="13" t="inlineStr">
        <is>
          <t>項目</t>
        </is>
      </c>
      <c r="C13" s="13" t="inlineStr">
        <is>
          <t>値</t>
        </is>
      </c>
      <c r="N13" s="32" t="n">
        <v>46387</v>
      </c>
      <c r="O13" s="33" t="inlineStr">
        <is>
          <t>年末休業（例）</t>
        </is>
      </c>
    </row>
    <row r="14">
      <c r="B14" s="38" t="inlineStr">
        <is>
          <t>最低出勤人数（1日あたり）</t>
        </is>
      </c>
      <c r="C14" s="34" t="n">
        <v>2</v>
      </c>
      <c r="N14" s="32" t="n">
        <v>46388</v>
      </c>
      <c r="O14" s="33" t="inlineStr">
        <is>
          <t>元日</t>
        </is>
      </c>
    </row>
    <row r="15">
      <c r="B15" s="38" t="inlineStr">
        <is>
          <t>最低正社員出勤人数</t>
        </is>
      </c>
      <c r="C15" s="34" t="n">
        <v>1</v>
      </c>
      <c r="N15" s="32" t="n">
        <v>46389</v>
      </c>
      <c r="O15" s="33" t="inlineStr">
        <is>
          <t>年始休業（例）</t>
        </is>
      </c>
    </row>
    <row r="16">
      <c r="B16" s="38" t="inlineStr">
        <is>
          <t>申請期限の目安</t>
        </is>
      </c>
      <c r="C16" s="33" t="inlineStr">
        <is>
          <t>休みたい日の1週間前まで</t>
        </is>
      </c>
      <c r="D16" s="6" t="n"/>
      <c r="E16" s="6" t="n"/>
      <c r="F16" s="6" t="n"/>
      <c r="G16" s="6" t="n"/>
      <c r="H16" s="6" t="n"/>
      <c r="I16" s="6" t="n"/>
      <c r="J16" s="6" t="n"/>
      <c r="K16" s="5" t="n"/>
      <c r="N16" s="32" t="n">
        <v>46390</v>
      </c>
      <c r="O16" s="33" t="inlineStr">
        <is>
          <t>年始休業（例）</t>
        </is>
      </c>
    </row>
    <row r="17">
      <c r="N17" s="32" t="n">
        <v>46398</v>
      </c>
      <c r="O17" s="33" t="inlineStr">
        <is>
          <t>成人の日</t>
        </is>
      </c>
    </row>
    <row r="18">
      <c r="B18" s="37" t="inlineStr">
        <is>
          <t>営業曜日（×の曜日は休業日として全員カウント対象外）</t>
        </is>
      </c>
      <c r="N18" s="32" t="n">
        <v>46429</v>
      </c>
      <c r="O18" s="33" t="inlineStr">
        <is>
          <t>建国記念の日</t>
        </is>
      </c>
    </row>
    <row r="19">
      <c r="B19" s="13" t="inlineStr">
        <is>
          <t>曜日</t>
        </is>
      </c>
      <c r="C19" s="13" t="inlineStr">
        <is>
          <t>営業</t>
        </is>
      </c>
      <c r="N19" s="32" t="n">
        <v>46441</v>
      </c>
      <c r="O19" s="33" t="inlineStr">
        <is>
          <t>天皇誕生日</t>
        </is>
      </c>
    </row>
    <row r="20">
      <c r="B20" s="21" t="inlineStr">
        <is>
          <t>月</t>
        </is>
      </c>
      <c r="C20" s="34" t="inlineStr">
        <is>
          <t>○</t>
        </is>
      </c>
      <c r="N20" s="32" t="n">
        <v>46468</v>
      </c>
      <c r="O20" s="33" t="inlineStr">
        <is>
          <t>春分の日 振替休日</t>
        </is>
      </c>
    </row>
    <row r="21">
      <c r="B21" s="21" t="inlineStr">
        <is>
          <t>火</t>
        </is>
      </c>
      <c r="C21" s="34" t="inlineStr">
        <is>
          <t>○</t>
        </is>
      </c>
      <c r="N21" s="32" t="n">
        <v>46506</v>
      </c>
      <c r="O21" s="33" t="inlineStr">
        <is>
          <t>昭和の日</t>
        </is>
      </c>
    </row>
    <row r="22">
      <c r="B22" s="21" t="inlineStr">
        <is>
          <t>水</t>
        </is>
      </c>
      <c r="C22" s="34" t="inlineStr">
        <is>
          <t>○</t>
        </is>
      </c>
      <c r="N22" s="32" t="n">
        <v>46510</v>
      </c>
      <c r="O22" s="33" t="inlineStr">
        <is>
          <t>憲法記念日</t>
        </is>
      </c>
    </row>
    <row r="23">
      <c r="B23" s="21" t="inlineStr">
        <is>
          <t>木</t>
        </is>
      </c>
      <c r="C23" s="34" t="inlineStr">
        <is>
          <t>○</t>
        </is>
      </c>
      <c r="N23" s="32" t="n">
        <v>46511</v>
      </c>
      <c r="O23" s="33" t="inlineStr">
        <is>
          <t>みどりの日</t>
        </is>
      </c>
    </row>
    <row r="24">
      <c r="B24" s="21" t="inlineStr">
        <is>
          <t>金</t>
        </is>
      </c>
      <c r="C24" s="34" t="inlineStr">
        <is>
          <t>○</t>
        </is>
      </c>
      <c r="N24" s="32" t="n">
        <v>46512</v>
      </c>
      <c r="O24" s="33" t="inlineStr">
        <is>
          <t>こどもの日</t>
        </is>
      </c>
    </row>
    <row r="25">
      <c r="B25" s="21" t="inlineStr">
        <is>
          <t>土</t>
        </is>
      </c>
      <c r="C25" s="34" t="inlineStr">
        <is>
          <t>×</t>
        </is>
      </c>
      <c r="N25" s="32" t="n">
        <v>46587</v>
      </c>
      <c r="O25" s="33" t="inlineStr">
        <is>
          <t>海の日</t>
        </is>
      </c>
    </row>
    <row r="26">
      <c r="B26" s="21" t="inlineStr">
        <is>
          <t>日</t>
        </is>
      </c>
      <c r="C26" s="34" t="inlineStr">
        <is>
          <t>×</t>
        </is>
      </c>
      <c r="N26" s="32" t="n">
        <v>46610</v>
      </c>
      <c r="O26" s="33" t="inlineStr">
        <is>
          <t>山の日</t>
        </is>
      </c>
    </row>
    <row r="27">
      <c r="N27" s="32" t="n">
        <v>46650</v>
      </c>
      <c r="O27" s="33" t="inlineStr">
        <is>
          <t>敬老の日</t>
        </is>
      </c>
    </row>
    <row r="28">
      <c r="B28" s="37" t="inlineStr">
        <is>
          <t>記号（休暇申請の種別）</t>
        </is>
      </c>
      <c r="N28" s="32" t="n">
        <v>46653</v>
      </c>
      <c r="O28" s="33" t="inlineStr">
        <is>
          <t>秋分の日</t>
        </is>
      </c>
    </row>
    <row r="29">
      <c r="B29" s="13" t="inlineStr">
        <is>
          <t>記号</t>
        </is>
      </c>
      <c r="C29" s="13" t="inlineStr">
        <is>
          <t>意味</t>
        </is>
      </c>
      <c r="D29" s="13" t="inlineStr">
        <is>
          <t>出勤係数</t>
        </is>
      </c>
      <c r="E29" s="5" t="n"/>
      <c r="F29" s="13" t="inlineStr">
        <is>
          <t>備考</t>
        </is>
      </c>
      <c r="G29" s="6" t="n"/>
      <c r="H29" s="6" t="n"/>
      <c r="I29" s="6" t="n"/>
      <c r="J29" s="6" t="n"/>
      <c r="K29" s="5" t="n"/>
      <c r="N29" s="32" t="n">
        <v>46671</v>
      </c>
      <c r="O29" s="33" t="inlineStr">
        <is>
          <t>スポーツの日</t>
        </is>
      </c>
    </row>
    <row r="30">
      <c r="B30" s="39" t="inlineStr">
        <is>
          <t>有</t>
        </is>
      </c>
      <c r="C30" s="38" t="inlineStr">
        <is>
          <t>有給休暇</t>
        </is>
      </c>
      <c r="D30" s="40" t="n">
        <v>0</v>
      </c>
      <c r="E30" s="5" t="n"/>
      <c r="F30" s="41" t="inlineStr">
        <is>
          <t>正社員は年5日取得義務の対象</t>
        </is>
      </c>
      <c r="G30" s="6" t="n"/>
      <c r="H30" s="6" t="n"/>
      <c r="I30" s="6" t="n"/>
      <c r="J30" s="6" t="n"/>
      <c r="K30" s="5" t="n"/>
      <c r="N30" s="32" t="n">
        <v>46694</v>
      </c>
      <c r="O30" s="33" t="inlineStr">
        <is>
          <t>文化の日</t>
        </is>
      </c>
    </row>
    <row r="31">
      <c r="B31" s="39" t="inlineStr">
        <is>
          <t>午前</t>
        </is>
      </c>
      <c r="C31" s="38" t="inlineStr">
        <is>
          <t>午前半休</t>
        </is>
      </c>
      <c r="D31" s="40" t="n">
        <v>0.5</v>
      </c>
      <c r="E31" s="5" t="n"/>
      <c r="F31" s="41" t="inlineStr">
        <is>
          <t>0.5日の有給として集計</t>
        </is>
      </c>
      <c r="G31" s="6" t="n"/>
      <c r="H31" s="6" t="n"/>
      <c r="I31" s="6" t="n"/>
      <c r="J31" s="6" t="n"/>
      <c r="K31" s="5" t="n"/>
      <c r="N31" s="32" t="n">
        <v>46714</v>
      </c>
      <c r="O31" s="33" t="inlineStr">
        <is>
          <t>勤労感謝の日</t>
        </is>
      </c>
    </row>
    <row r="32">
      <c r="B32" s="39" t="inlineStr">
        <is>
          <t>午後</t>
        </is>
      </c>
      <c r="C32" s="38" t="inlineStr">
        <is>
          <t>午後半休</t>
        </is>
      </c>
      <c r="D32" s="40" t="n">
        <v>0.5</v>
      </c>
      <c r="E32" s="5" t="n"/>
      <c r="F32" s="41" t="inlineStr">
        <is>
          <t>0.5日の有給として集計</t>
        </is>
      </c>
      <c r="G32" s="6" t="n"/>
      <c r="H32" s="6" t="n"/>
      <c r="I32" s="6" t="n"/>
      <c r="J32" s="6" t="n"/>
      <c r="K32" s="5" t="n"/>
      <c r="N32" s="42" t="n"/>
      <c r="O32" s="33" t="n"/>
    </row>
    <row r="33">
      <c r="B33" s="39" t="inlineStr">
        <is>
          <t>休</t>
        </is>
      </c>
      <c r="C33" s="38" t="inlineStr">
        <is>
          <t>公休・希望休</t>
        </is>
      </c>
      <c r="D33" s="40" t="n">
        <v>0</v>
      </c>
      <c r="E33" s="5" t="n"/>
      <c r="F33" s="41" t="inlineStr">
        <is>
          <t>無給の休み・シフト調整による休み</t>
        </is>
      </c>
      <c r="G33" s="6" t="n"/>
      <c r="H33" s="6" t="n"/>
      <c r="I33" s="6" t="n"/>
      <c r="J33" s="6" t="n"/>
      <c r="K33" s="5" t="n"/>
      <c r="N33" s="42" t="n"/>
      <c r="O33" s="33" t="n"/>
    </row>
    <row r="34">
      <c r="B34" s="39" t="inlineStr">
        <is>
          <t>特</t>
        </is>
      </c>
      <c r="C34" s="38" t="inlineStr">
        <is>
          <t>特別休暇（慶弔など）</t>
        </is>
      </c>
      <c r="D34" s="40" t="n">
        <v>0</v>
      </c>
      <c r="E34" s="5" t="n"/>
      <c r="F34" s="41" t="inlineStr"/>
      <c r="G34" s="6" t="n"/>
      <c r="H34" s="6" t="n"/>
      <c r="I34" s="6" t="n"/>
      <c r="J34" s="6" t="n"/>
      <c r="K34" s="5" t="n"/>
      <c r="N34" s="42" t="n"/>
      <c r="O34" s="33" t="n"/>
    </row>
    <row r="35">
      <c r="B35" s="39" t="inlineStr">
        <is>
          <t>代</t>
        </is>
      </c>
      <c r="C35" s="38" t="inlineStr">
        <is>
          <t>代休・振替休日</t>
        </is>
      </c>
      <c r="D35" s="40" t="n">
        <v>0</v>
      </c>
      <c r="E35" s="5" t="n"/>
      <c r="F35" s="41" t="inlineStr"/>
      <c r="G35" s="6" t="n"/>
      <c r="H35" s="6" t="n"/>
      <c r="I35" s="6" t="n"/>
      <c r="J35" s="6" t="n"/>
      <c r="K35" s="5" t="n"/>
      <c r="N35" s="42" t="n"/>
      <c r="O35" s="33" t="n"/>
    </row>
    <row r="36">
      <c r="B36" s="39" t="inlineStr">
        <is>
          <t>欠</t>
        </is>
      </c>
      <c r="C36" s="38" t="inlineStr">
        <is>
          <t>欠勤</t>
        </is>
      </c>
      <c r="D36" s="40" t="n">
        <v>0</v>
      </c>
      <c r="E36" s="5" t="n"/>
      <c r="F36" s="41" t="inlineStr">
        <is>
          <t>事後登録用</t>
        </is>
      </c>
      <c r="G36" s="6" t="n"/>
      <c r="H36" s="6" t="n"/>
      <c r="I36" s="6" t="n"/>
      <c r="J36" s="6" t="n"/>
      <c r="K36" s="5" t="n"/>
      <c r="N36" s="42" t="n"/>
      <c r="O36" s="33" t="n"/>
    </row>
    <row r="37">
      <c r="B37" s="39" t="inlineStr">
        <is>
          <t>在</t>
        </is>
      </c>
      <c r="C37" s="38" t="inlineStr">
        <is>
          <t>在宅勤務</t>
        </is>
      </c>
      <c r="D37" s="40" t="n">
        <v>1</v>
      </c>
      <c r="E37" s="5" t="n"/>
      <c r="F37" s="41" t="inlineStr">
        <is>
          <t>出勤扱い。所在把握のために記録</t>
        </is>
      </c>
      <c r="G37" s="6" t="n"/>
      <c r="H37" s="6" t="n"/>
      <c r="I37" s="6" t="n"/>
      <c r="J37" s="6" t="n"/>
      <c r="K37" s="5" t="n"/>
      <c r="N37" s="42" t="n"/>
      <c r="O37" s="33" t="n"/>
    </row>
    <row r="38">
      <c r="B38" s="39" t="inlineStr">
        <is>
          <t>外</t>
        </is>
      </c>
      <c r="C38" s="38" t="inlineStr">
        <is>
          <t>外出・出張</t>
        </is>
      </c>
      <c r="D38" s="40" t="n">
        <v>1</v>
      </c>
      <c r="E38" s="5" t="n"/>
      <c r="F38" s="41" t="inlineStr">
        <is>
          <t>出勤扱い。事務所に人がいない場合は別途注意</t>
        </is>
      </c>
      <c r="G38" s="6" t="n"/>
      <c r="H38" s="6" t="n"/>
      <c r="I38" s="6" t="n"/>
      <c r="J38" s="6" t="n"/>
      <c r="K38" s="5" t="n"/>
      <c r="N38" s="42" t="n"/>
      <c r="O38" s="33" t="n"/>
    </row>
    <row r="39">
      <c r="N39" s="42" t="n"/>
      <c r="O39" s="33" t="n"/>
    </row>
    <row r="40">
      <c r="N40" s="42" t="n"/>
      <c r="O40" s="33" t="n"/>
    </row>
    <row r="41">
      <c r="N41" s="42" t="n"/>
      <c r="O41" s="33" t="n"/>
    </row>
    <row r="42">
      <c r="N42" s="42" t="n"/>
      <c r="O42" s="33" t="n"/>
    </row>
    <row r="43">
      <c r="N43" s="42" t="n"/>
      <c r="O43" s="33" t="n"/>
    </row>
    <row r="44">
      <c r="N44" s="42" t="n"/>
      <c r="O44" s="33" t="n"/>
    </row>
    <row r="45">
      <c r="N45" s="42" t="n"/>
      <c r="O45" s="33" t="n"/>
    </row>
    <row r="46">
      <c r="N46" s="42" t="n"/>
      <c r="O46" s="33" t="n"/>
    </row>
    <row r="47">
      <c r="N47" s="42" t="n"/>
      <c r="O47" s="33" t="n"/>
    </row>
    <row r="48">
      <c r="N48" s="42" t="n"/>
      <c r="O48" s="33" t="n"/>
    </row>
    <row r="49">
      <c r="N49" s="42" t="n"/>
      <c r="O49" s="33" t="n"/>
    </row>
    <row r="50">
      <c r="N50" s="42" t="n"/>
      <c r="O50" s="33" t="n"/>
    </row>
    <row r="51">
      <c r="N51" s="42" t="n"/>
      <c r="O51" s="33" t="n"/>
    </row>
    <row r="52">
      <c r="N52" s="42" t="n"/>
      <c r="O52" s="33" t="n"/>
    </row>
    <row r="53">
      <c r="N53" s="42" t="n"/>
      <c r="O53" s="33" t="n"/>
    </row>
    <row r="54">
      <c r="N54" s="42" t="n"/>
      <c r="O54" s="33" t="n"/>
    </row>
    <row r="55">
      <c r="N55" s="42" t="n"/>
      <c r="O55" s="33" t="n"/>
    </row>
    <row r="56">
      <c r="N56" s="42" t="n"/>
      <c r="O56" s="33" t="n"/>
    </row>
    <row r="57">
      <c r="N57" s="42" t="n"/>
      <c r="O57" s="33" t="n"/>
    </row>
    <row r="58">
      <c r="N58" s="42" t="n"/>
      <c r="O58" s="33" t="n"/>
    </row>
    <row r="59">
      <c r="N59" s="42" t="n"/>
      <c r="O59" s="33" t="n"/>
    </row>
    <row r="60">
      <c r="N60" s="42" t="n"/>
      <c r="O60" s="33" t="n"/>
    </row>
    <row r="61">
      <c r="N61" s="42" t="n"/>
      <c r="O61" s="33" t="n"/>
    </row>
    <row r="62">
      <c r="N62" s="42" t="n"/>
      <c r="O62" s="33" t="n"/>
    </row>
    <row r="63">
      <c r="N63" s="42" t="n"/>
      <c r="O63" s="33" t="n"/>
    </row>
    <row r="64">
      <c r="N64" s="42" t="n"/>
      <c r="O64" s="33" t="n"/>
    </row>
    <row r="65">
      <c r="N65" s="42" t="n"/>
      <c r="O65" s="33" t="n"/>
    </row>
    <row r="66">
      <c r="N66" s="42" t="n"/>
      <c r="O66" s="33" t="n"/>
    </row>
    <row r="67">
      <c r="N67" s="42" t="n"/>
      <c r="O67" s="33" t="n"/>
    </row>
    <row r="68">
      <c r="N68" s="42" t="n"/>
      <c r="O68" s="33" t="n"/>
    </row>
    <row r="69">
      <c r="N69" s="42" t="n"/>
      <c r="O69" s="33" t="n"/>
    </row>
    <row r="70">
      <c r="N70" s="42" t="n"/>
      <c r="O70" s="33" t="n"/>
    </row>
    <row r="71">
      <c r="N71" s="42" t="n"/>
      <c r="O71" s="33" t="n"/>
    </row>
    <row r="72">
      <c r="N72" s="42" t="n"/>
      <c r="O72" s="33" t="n"/>
    </row>
    <row r="73">
      <c r="N73" s="42" t="n"/>
      <c r="O73" s="33" t="n"/>
    </row>
    <row r="74">
      <c r="N74" s="42" t="n"/>
      <c r="O74" s="33" t="n"/>
    </row>
    <row r="75">
      <c r="N75" s="42" t="n"/>
      <c r="O75" s="33" t="n"/>
    </row>
    <row r="76">
      <c r="N76" s="42" t="n"/>
      <c r="O76" s="33" t="n"/>
    </row>
    <row r="77">
      <c r="N77" s="42" t="n"/>
      <c r="O77" s="33" t="n"/>
    </row>
    <row r="78">
      <c r="N78" s="42" t="n"/>
      <c r="O78" s="33" t="n"/>
    </row>
    <row r="79">
      <c r="N79" s="42" t="n"/>
      <c r="O79" s="33" t="n"/>
    </row>
    <row r="80">
      <c r="N80" s="42" t="n"/>
      <c r="O80" s="33" t="n"/>
    </row>
  </sheetData>
  <mergeCells count="22">
    <mergeCell ref="C16:K16"/>
    <mergeCell ref="F33:K33"/>
    <mergeCell ref="F36:K36"/>
    <mergeCell ref="D34:E34"/>
    <mergeCell ref="F32:K32"/>
    <mergeCell ref="F35:K35"/>
    <mergeCell ref="D36:E36"/>
    <mergeCell ref="D31:E31"/>
    <mergeCell ref="F38:K38"/>
    <mergeCell ref="F31:K31"/>
    <mergeCell ref="D32:E32"/>
    <mergeCell ref="F37:K37"/>
    <mergeCell ref="D37:E37"/>
    <mergeCell ref="F29:K29"/>
    <mergeCell ref="F34:K34"/>
    <mergeCell ref="D30:E30"/>
    <mergeCell ref="B13"/>
    <mergeCell ref="D33:E33"/>
    <mergeCell ref="D29:E29"/>
    <mergeCell ref="D38:E38"/>
    <mergeCell ref="F30:K30"/>
    <mergeCell ref="D35:E35"/>
  </mergeCells>
  <dataValidations count="2">
    <dataValidation sqref="C5:C10" showDropDown="0" showInputMessage="0" showErrorMessage="0" allowBlank="1" type="list">
      <formula1>"正社員,派遣"</formula1>
    </dataValidation>
    <dataValidation sqref="C20:C26 D5:J10" showDropDown="0" showInputMessage="0" showErrorMessage="0" allowBlank="1" type="list">
      <formula1>"○,×"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1:C39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4" customWidth="1" min="2" max="2"/>
    <col width="110" customWidth="1" min="3" max="3"/>
  </cols>
  <sheetData>
    <row r="1">
      <c r="B1" s="1" t="inlineStr">
        <is>
          <t>勤怠管理（休暇調整）シート  使い方</t>
        </is>
      </c>
    </row>
    <row r="2">
      <c r="B2" s="2" t="inlineStr">
        <is>
          <t>正社員2名 + 派遣2名の少人数チーム向け。誰がいつ休むかを一箇所で見える化し、出勤人数が最低ラインを割らないように調整する。</t>
        </is>
      </c>
    </row>
    <row r="4">
      <c r="B4" s="43" t="n"/>
      <c r="C4" s="44" t="inlineStr">
        <is>
          <t>■ 基本の考え方</t>
        </is>
      </c>
    </row>
    <row r="5">
      <c r="C5" s="45" t="inlineStr">
        <is>
          <t>・入力するのは「休暇申請」シートだけ。1休暇につき1行（連休は日ごとに1行ずつ）。</t>
        </is>
      </c>
    </row>
    <row r="6">
      <c r="C6" s="45" t="inlineStr">
        <is>
          <t>・「シフト表」は年・月を切り替えるだけで自動で組み上がる。手入力はしない。</t>
        </is>
      </c>
    </row>
    <row r="7">
      <c r="C7" s="45" t="inlineStr">
        <is>
          <t>・「有給管理」は承認済みの申請から自動集計。付与日と付与日数だけ最初に入れる。</t>
        </is>
      </c>
    </row>
    <row r="8">
      <c r="C8" s="45" t="inlineStr">
        <is>
          <t>・黄色のセル = 入力する場所。灰色のセル = 自動計算（触らない）。</t>
        </is>
      </c>
    </row>
    <row r="9">
      <c r="C9" s="45" t="inlineStr"/>
    </row>
    <row r="10">
      <c r="B10" s="43" t="n"/>
      <c r="C10" s="44" t="inlineStr">
        <is>
          <t>■ 最初にやること（5分）</t>
        </is>
      </c>
    </row>
    <row r="11">
      <c r="C11" s="45" t="inlineStr">
        <is>
          <t>1. 「設定」シートでメンバー4名の氏名・区分（正社員／派遣）・勤務曜日（○×）を入れる。</t>
        </is>
      </c>
    </row>
    <row r="12">
      <c r="C12" s="45" t="inlineStr">
        <is>
          <t>2. 「設定」の最低出勤人数（初期値 2名）と、最低正社員出勤人数（初期値 1名）を確認する。</t>
        </is>
      </c>
    </row>
    <row r="13">
      <c r="C13" s="45" t="inlineStr">
        <is>
          <t>3. 「有給管理」に各人の付与日・付与日数・繰越を入れる（派遣の残数は派遣元管理なので不要）。</t>
        </is>
      </c>
    </row>
    <row r="14">
      <c r="C14" s="45" t="inlineStr">
        <is>
          <t>4. サンプルとして入っている申請4行（9/10に3人が重なって「要確認」が出る例）は削除してよい。</t>
        </is>
      </c>
    </row>
    <row r="15">
      <c r="C15" s="45" t="inlineStr"/>
    </row>
    <row r="16">
      <c r="B16" s="43" t="n"/>
      <c r="C16" s="44" t="inlineStr">
        <is>
          <t>■ 休みを取りたいとき（申請者）</t>
        </is>
      </c>
    </row>
    <row r="17">
      <c r="C17" s="45" t="inlineStr">
        <is>
          <t>1. 「休暇申請」に 申請日・氏名・休暇日・種別・理由 を1行追加する。状態は「申請中」。</t>
        </is>
      </c>
    </row>
    <row r="18">
      <c r="C18" s="45" t="inlineStr">
        <is>
          <t>2. 右側の「判定」列に「要確認」と出たら、その日は既に誰かが休む予定。日程をずらせないか先に相談する。</t>
        </is>
      </c>
    </row>
    <row r="19">
      <c r="C19" s="45" t="inlineStr">
        <is>
          <t>3. 「シフト表」でも申請中の休みは (有) のようにカッコ付きで表示される。</t>
        </is>
      </c>
    </row>
    <row r="20">
      <c r="C20" s="45" t="inlineStr"/>
    </row>
    <row r="21">
      <c r="B21" s="43" t="n"/>
      <c r="C21" s="44" t="inlineStr">
        <is>
          <t>■ 承認するとき（管理者）</t>
        </is>
      </c>
    </row>
    <row r="22">
      <c r="C22" s="45" t="inlineStr">
        <is>
          <t>1. 「シフト表」の「申請中を承認した場合の判定」行を見る。「要注意」なら承認すると最低人数を割る。</t>
        </is>
      </c>
    </row>
    <row r="23">
      <c r="C23" s="45" t="inlineStr">
        <is>
          <t>2. 問題なければ「休暇申請」の状態を「承認」に変え、承認者名を入れる。却下なら「却下」。</t>
        </is>
      </c>
    </row>
    <row r="24">
      <c r="C24" s="45" t="inlineStr">
        <is>
          <t>3. 派遣メンバーの休みは、承認と同時に派遣元（派遣会社）にも連絡する。派遣元にとっては勤怠実績＝請求根拠。</t>
        </is>
      </c>
    </row>
    <row r="25">
      <c r="C25" s="45" t="inlineStr"/>
    </row>
    <row r="26">
      <c r="B26" s="43" t="n"/>
      <c r="C26" s="44" t="inlineStr">
        <is>
          <t>■ 運用ルールの例（設定シートで文言を変えられる）</t>
        </is>
      </c>
    </row>
    <row r="27">
      <c r="C27" s="45" t="inlineStr">
        <is>
          <t>・申請は原則、休みたい日の1週間前まで。急な体調不良は当日連絡＋事後に「欠」または「有」で登録。</t>
        </is>
      </c>
    </row>
    <row r="28">
      <c r="C28" s="45" t="inlineStr">
        <is>
          <t>・同じ日に希望が重なったら「先に申請した人」ではなく「直近3か月の休み取得日数が少ない人」を優先すると不公平感が出にくい。</t>
        </is>
      </c>
    </row>
    <row r="29">
      <c r="C29" s="45" t="inlineStr">
        <is>
          <t>・派遣2名だけの出勤日は作らない（指揮命令者が不在になる）。最低正社員出勤人数=1 はそのための設定。</t>
        </is>
      </c>
    </row>
    <row r="30">
      <c r="C30" s="45" t="inlineStr">
        <is>
          <t>・正社員は年5日の有給取得義務あり。「有給管理」の「年5日義務」列が「あと○日」のままなら、管理者側から取得日を提案する。</t>
        </is>
      </c>
    </row>
    <row r="31">
      <c r="C31" s="45" t="inlineStr"/>
    </row>
    <row r="32">
      <c r="B32" s="43" t="n"/>
      <c r="C32" s="44" t="inlineStr">
        <is>
          <t>■ 記号の意味</t>
        </is>
      </c>
    </row>
    <row r="33">
      <c r="C33" s="45" t="inlineStr">
        <is>
          <t>有=有給 / 午前=午前半休 / 午後=午後半休 / 休=公休・希望休 / 欠=欠勤 / 特=特別休暇 / 代=代休 / 在=在宅勤務 / 外=外出・出張</t>
        </is>
      </c>
    </row>
    <row r="34">
      <c r="C34" s="45" t="inlineStr">
        <is>
          <t>空欄=通常出勤、－=その人の勤務曜日ではない日、灰色の列=会社の休業日（土日祝）</t>
        </is>
      </c>
    </row>
    <row r="35">
      <c r="C35" s="45" t="inlineStr"/>
    </row>
    <row r="36">
      <c r="B36" s="43" t="n"/>
      <c r="C36" s="44" t="inlineStr">
        <is>
          <t>■ 注意</t>
        </is>
      </c>
    </row>
    <row r="37">
      <c r="C37" s="45" t="inlineStr">
        <is>
          <t>・シフト表は同時に1か月しか表示しない。過去月を見たいときは年・月を戻すだけでよい（データは休暇申請に残っている）。</t>
        </is>
      </c>
    </row>
    <row r="38">
      <c r="C38" s="45" t="inlineStr">
        <is>
          <t>・休暇申請の日付は必ず日付形式（2026/9/10 のように入力）。文字として入ると集計に乗らない。</t>
        </is>
      </c>
    </row>
    <row r="39">
      <c r="C39" s="45" t="inlineStr">
        <is>
          <t>・「休暇申請」の自動列（灰色）は200行分だけ式が入っている。それを超える場合は上の行をコピーする。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2026-09-02T02:56:43Z</dcterms:created>
  <dcterms:modified xsi:type="dcterms:W3CDTF">2026-09-02T02:56:43Z</dcterms:modified>
</cp:coreProperties>
</file>