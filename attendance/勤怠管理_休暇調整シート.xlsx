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シフト表" sheetId="1" state="visible" r:id="rId1"/>
    <sheet name="休暇申請" sheetId="2" state="visible" r:id="rId2"/>
    <sheet name="有給管理" sheetId="3" state="visible" r:id="rId3"/>
    <sheet name="設定" sheetId="4" state="visible" r:id="rId4"/>
    <sheet name="使い方" sheetId="5" state="visible" r:id="rId5"/>
  </sheets>
  <definedNames>
    <definedName name="STAFF_NAMES">設定!$B$5:$B$10</definedName>
    <definedName name="STAFF_DAYS">設定!$D$5:$J$10</definedName>
    <definedName name="BIZ_DAYS">設定!$C$20:$C$26</definedName>
    <definedName name="HOLIDAYS">設定!$N$5:$N$80</definedName>
    <definedName name="MIN_ALL">設定!$C$14</definedName>
    <definedName name="MIN_FT">設定!$C$15</definedName>
    <definedName name="SYM_TBL">設定!$B$30:$D$38</definedName>
    <definedName name="LOG_NAME">休暇申請!$C$5:$C$204</definedName>
    <definedName name="LOG_DATE">休暇申請!$D$5:$D$204</definedName>
    <definedName name="LOG_SYM">休暇申請!$E$5:$E$204</definedName>
    <definedName name="LOG_STATE">休暇申請!$G$5:$G$204</definedName>
    <definedName name="KEY_A">休暇申請!$L$5:$L$204</definedName>
    <definedName name="KEY_P">休暇申請!$M$5:$M$204</definedName>
    <definedName name="_xlnm._FilterDatabase" localSheetId="1" hidden="1">'休暇申請'!$B$4:$M$204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yyyy-mm-dd"/>
    <numFmt numFmtId="166" formatCode="yyyy/m/d"/>
    <numFmt numFmtId="167" formatCode="d"/>
    <numFmt numFmtId="168" formatCode="0.#"/>
  </numFmts>
  <fonts count="11">
    <font>
      <name val="Calibri"/>
      <family val="2"/>
      <color theme="1"/>
      <sz val="11"/>
      <scheme val="minor"/>
    </font>
    <font>
      <name val="Meiryo"/>
      <b val="1"/>
      <color rgb="001C1C3A"/>
      <sz val="16"/>
    </font>
    <font>
      <name val="Meiryo"/>
      <color rgb="008A8078"/>
      <sz val="9"/>
    </font>
    <font>
      <name val="Meiryo"/>
      <b val="1"/>
      <color rgb="001C1C3A"/>
      <sz val="11"/>
    </font>
    <font>
      <name val="Meiryo"/>
      <color rgb="00000000"/>
      <sz val="10"/>
    </font>
    <font>
      <name val="Meiryo"/>
      <b val="1"/>
      <color rgb="00FFFFFF"/>
      <sz val="10"/>
    </font>
    <font>
      <name val="Meiryo"/>
      <color rgb="008A8078"/>
      <sz val="10"/>
    </font>
    <font>
      <name val="Meiryo"/>
      <b val="1"/>
      <color rgb="00000000"/>
      <sz val="10"/>
    </font>
    <font>
      <name val="Meiryo"/>
      <color rgb="00008000"/>
      <sz val="10"/>
    </font>
    <font>
      <name val="Meiryo"/>
      <b val="1"/>
      <color rgb="00008000"/>
      <sz val="10"/>
    </font>
    <font>
      <name val="Meiryo"/>
      <color rgb="00000000"/>
      <sz val="9"/>
    </font>
  </fonts>
  <fills count="12">
    <fill>
      <patternFill/>
    </fill>
    <fill>
      <patternFill patternType="gray125"/>
    </fill>
    <fill>
      <patternFill patternType="solid">
        <fgColor rgb="00E8630A"/>
      </patternFill>
    </fill>
    <fill>
      <patternFill patternType="solid">
        <fgColor rgb="001C1C3A"/>
      </patternFill>
    </fill>
    <fill>
      <patternFill patternType="solid">
        <fgColor rgb="00FFF6DD"/>
      </patternFill>
    </fill>
    <fill>
      <patternFill patternType="solid">
        <fgColor rgb="00F3F3F3"/>
      </patternFill>
    </fill>
    <fill>
      <patternFill patternType="solid">
        <fgColor rgb="00F2EDE4"/>
      </patternFill>
    </fill>
    <fill>
      <patternFill patternType="solid">
        <fgColor rgb="00FADBD8"/>
      </patternFill>
    </fill>
    <fill>
      <patternFill patternType="solid">
        <fgColor rgb="00FCF3CF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D9D9D9"/>
      </patternFill>
    </fill>
  </fills>
  <borders count="9">
    <border>
      <left/>
      <right/>
      <top/>
      <bottom/>
      <diagonal/>
    </border>
    <border>
      <left style="thin">
        <color rgb="00E0D9CE"/>
      </left>
      <right style="thin">
        <color rgb="00E0D9CE"/>
      </right>
      <top style="thin">
        <color rgb="00E0D9CE"/>
      </top>
      <bottom style="thin">
        <color rgb="00E0D9CE"/>
      </bottom>
    </border>
    <border>
      <left/>
      <right/>
      <top style="thin">
        <color rgb="00E0D9CE"/>
      </top>
      <bottom/>
      <diagonal/>
    </border>
    <border>
      <left/>
      <right style="thin">
        <color rgb="00E0D9CE"/>
      </right>
      <top style="thin">
        <color rgb="00E0D9CE"/>
      </top>
      <bottom/>
      <diagonal/>
    </border>
    <border>
      <left/>
      <right/>
      <top style="thin">
        <color rgb="00E0D9CE"/>
      </top>
      <bottom style="thin">
        <color rgb="00E0D9CE"/>
      </bottom>
      <diagonal/>
    </border>
    <border>
      <left/>
      <right style="thin">
        <color rgb="00E0D9CE"/>
      </right>
      <top style="thin">
        <color rgb="00E0D9CE"/>
      </top>
      <bottom style="thin">
        <color rgb="00E0D9CE"/>
      </bottom>
      <diagonal/>
    </border>
    <border>
      <left style="thin">
        <color rgb="00E0D9CE"/>
      </left>
      <right/>
      <top/>
      <bottom/>
      <diagonal/>
    </border>
    <border>
      <left style="thin">
        <color rgb="00E0D9CE"/>
      </left>
      <right style="thin">
        <color rgb="00E0D9CE"/>
      </right>
      <top/>
      <bottom/>
      <diagonal/>
    </border>
    <border>
      <left style="thin">
        <color rgb="00E0D9CE"/>
      </left>
      <right style="thin">
        <color rgb="00E0D9CE"/>
      </right>
      <top/>
      <bottom style="thin">
        <color rgb="00E0D9CE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6" borderId="1" applyAlignment="1" pivotButton="0" quotePrefix="0" xfId="0">
      <alignment horizontal="center" vertical="center"/>
    </xf>
    <xf numFmtId="1" fontId="7" fillId="4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8" fillId="5" borderId="1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10" fillId="9" borderId="0" applyAlignment="1" pivotButton="0" quotePrefix="0" xfId="0">
      <alignment horizontal="center"/>
    </xf>
    <xf numFmtId="0" fontId="10" fillId="10" borderId="0" applyAlignment="1" pivotButton="0" quotePrefix="0" xfId="0">
      <alignment horizontal="center"/>
    </xf>
    <xf numFmtId="0" fontId="10" fillId="11" borderId="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167" fontId="7" fillId="6" borderId="1" applyAlignment="1" pivotButton="0" quotePrefix="0" xfId="0">
      <alignment horizontal="center" vertical="center"/>
    </xf>
    <xf numFmtId="0" fontId="0" fillId="0" borderId="7" pivotButton="0" quotePrefix="0" xfId="0"/>
    <xf numFmtId="0" fontId="4" fillId="6" borderId="1" applyAlignment="1" pivotButton="0" quotePrefix="0" xfId="0">
      <alignment horizontal="center" vertical="center"/>
    </xf>
    <xf numFmtId="0" fontId="0" fillId="0" borderId="8" pivotButton="0" quotePrefix="0" xfId="0"/>
    <xf numFmtId="0" fontId="6" fillId="6" borderId="1" applyAlignment="1" pivotButton="0" quotePrefix="0" xfId="0">
      <alignment horizontal="center" vertical="center"/>
    </xf>
    <xf numFmtId="0" fontId="9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0" fontId="7" fillId="6" borderId="1" pivotButton="0" quotePrefix="0" xfId="0"/>
    <xf numFmtId="168" fontId="7" fillId="5" borderId="1" applyAlignment="1" pivotButton="0" quotePrefix="0" xfId="0">
      <alignment horizontal="center" vertical="center"/>
    </xf>
    <xf numFmtId="0" fontId="4" fillId="6" borderId="1" pivotButton="0" quotePrefix="0" xfId="0"/>
    <xf numFmtId="0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6" fillId="5" borderId="1" pivotButton="0" quotePrefix="0" xfId="0"/>
    <xf numFmtId="0" fontId="6" fillId="5" borderId="1" applyAlignment="1" pivotButton="0" quotePrefix="0" xfId="0">
      <alignment horizontal="center" vertical="center"/>
    </xf>
    <xf numFmtId="168" fontId="6" fillId="5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0" fontId="6" fillId="4" borderId="1" pivotButton="0" quotePrefix="0" xfId="0"/>
    <xf numFmtId="0" fontId="3" fillId="0" borderId="0" pivotButton="0" quotePrefix="0" xfId="0"/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6" fillId="0" borderId="1" pivotButton="0" quotePrefix="0" xfId="0"/>
    <xf numFmtId="166" fontId="4" fillId="4" borderId="1" pivotButton="0" quotePrefix="0" xfId="0"/>
    <xf numFmtId="0" fontId="0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2">
    <dxf>
      <fill>
        <patternFill patternType="solid">
          <fgColor rgb="00D9D9D9"/>
        </patternFill>
      </fill>
    </dxf>
    <dxf>
      <font>
        <name val="Meiryo"/>
        <b val="1"/>
        <color rgb="00C0392B"/>
      </font>
    </dxf>
    <dxf>
      <font>
        <name val="Meiryo"/>
        <b val="1"/>
        <color rgb="002E86C1"/>
      </font>
    </dxf>
    <dxf>
      <fill>
        <patternFill patternType="solid">
          <fgColor rgb="00FDEBD0"/>
        </patternFill>
      </fill>
    </dxf>
    <dxf>
      <font>
        <name val="Meiryo"/>
        <b val="1"/>
        <color rgb="00922B21"/>
      </font>
      <fill>
        <patternFill patternType="solid">
          <fgColor rgb="00FADBD8"/>
        </patternFill>
      </fill>
    </dxf>
    <dxf>
      <fill>
        <patternFill patternType="solid">
          <fgColor rgb="00FCF3CF"/>
        </patternFill>
      </fill>
    </dxf>
    <dxf>
      <fill>
        <patternFill patternType="solid">
          <fgColor rgb="00D6EAF8"/>
        </patternFill>
      </fill>
    </dxf>
    <dxf>
      <font>
        <name val="Meiryo"/>
        <color rgb="00BBBBBB"/>
      </font>
    </dxf>
    <dxf>
      <font>
        <name val="Meiryo"/>
        <b val="1"/>
        <color rgb="00FFFFFF"/>
      </font>
      <fill>
        <patternFill patternType="solid">
          <fgColor rgb="00E74C3C"/>
        </patternFill>
      </fill>
    </dxf>
    <dxf>
      <fill>
        <patternFill patternType="solid">
          <fgColor rgb="00D5F5E3"/>
        </patternFill>
      </fill>
    </dxf>
    <dxf>
      <font>
        <name val="Meiryo"/>
        <b val="1"/>
        <color rgb="00FFFFFF"/>
      </font>
      <fill>
        <patternFill patternType="solid">
          <fgColor rgb="00F39C12"/>
        </patternFill>
      </fill>
    </dxf>
    <dxf>
      <fill>
        <patternFill patternType="solid">
          <f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template</author>
  </authors>
  <commentList>
    <comment ref="C3" authorId="0" shapeId="0">
      <text>
        <t>表示したい年。</t>
      </text>
    </comment>
    <comment ref="E3" authorId="0" shapeId="0">
      <text>
        <t>表示したい月（1〜12）。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I5" authorId="0" shapeId="0">
      <text>
        <t>同じ日に休む予定（承認済み＋申請中）の人数。自分は除く。半休も1人として数える（安全側）。</t>
      </text>
    </comment>
    <comment ref="J5" authorId="0" shapeId="0">
      <text>
        <t>その曜日に勤務予定の人数 − 休む人数（自分を含む、承認＋申請中）。半休も1人分の休みとして数えるので、実際より厳しめに出る。</t>
      </text>
    </comment>
    <comment ref="K5" authorId="0" shapeId="0">
      <text>
        <t>出勤見込みが設定の最低出勤人数を割ると「要確認」。承認前に日程調整を。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D5" authorId="0" shapeId="0">
      <text>
        <t>直近の有給付与日。この日以降の承認済み取得を数える。</t>
      </text>
    </comment>
    <comment ref="E5" authorId="0" shapeId="0">
      <text>
        <t>付与日数の例（入社6か月で10日、1年6か月で11日 …）。実際の値に直す。</t>
      </text>
    </comment>
    <comment ref="I5" authorId="0" shapeId="0">
      <text>
        <t>年10日以上付与される人は、付与日から1年以内に5日取得させる義務がある（労基法39条7項）。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B5" authorId="0" shapeId="0">
      <text>
        <t>実際の氏名に書き換える。休暇申請・シフト表・有給管理はここを参照する。</t>
      </text>
    </comment>
    <comment ref="N5" authorId="0" shapeId="0">
      <text>
        <t>2026年9月〜2027年の祝日を入力済み（内閣府の祝日一覧に基づく。2027年分は公表後に要確認）。年末年始などの会社休業日も追加できる。</t>
      </text>
    </comment>
    <comment ref="C14" authorId="0" shapeId="0">
      <text>
        <t>4名体制で2名を下限にすると、同じ日に休めるのは最大2名。派遣だけの出勤日を避けたいなら下の正社員下限も合わせて使う。</t>
      </text>
    </comment>
    <comment ref="D30" authorId="0" shapeId="0">
      <text>
        <t>その日を何人分の出勤として数えるか。1=出勤、0=休み、0.5=半日。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00E8630A"/>
    <outlinePr summaryBelow="1" summaryRight="1"/>
    <pageSetUpPr/>
  </sheetPr>
  <dimension ref="B1:AN34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8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  <col width="2" customWidth="1" min="35" max="35"/>
    <col width="8" customWidth="1" min="36" max="36"/>
    <col width="8" customWidth="1" min="37" max="37"/>
    <col width="8" customWidth="1" min="38" max="38"/>
    <col width="8" customWidth="1" min="39" max="39"/>
    <col width="10" customWidth="1" min="40" max="40"/>
  </cols>
  <sheetData>
    <row r="1">
      <c r="B1" s="1" t="inlineStr">
        <is>
          <t>シフト表（自動）</t>
        </is>
      </c>
    </row>
    <row r="2">
      <c r="B2" s="2" t="inlineStr">
        <is>
          <t>年と月を変えるだけ。休暇申請の内容が自動で入る。( ) 付きは申請中。</t>
        </is>
      </c>
    </row>
    <row r="3">
      <c r="B3" s="3" t="inlineStr">
        <is>
          <t>年</t>
        </is>
      </c>
      <c r="C3" s="4" t="n">
        <v>2026</v>
      </c>
      <c r="D3" s="3" t="inlineStr">
        <is>
          <t>月</t>
        </is>
      </c>
      <c r="E3" s="4" t="n">
        <v>9</v>
      </c>
      <c r="F3" s="5" t="n"/>
      <c r="H3" s="3" t="inlineStr">
        <is>
          <t>最低出勤</t>
        </is>
      </c>
      <c r="I3" s="6" t="n"/>
      <c r="J3" s="5" t="n"/>
      <c r="K3" s="7">
        <f>設定!C14</f>
        <v/>
      </c>
      <c r="L3" s="3" t="inlineStr">
        <is>
          <t>最低正社員</t>
        </is>
      </c>
      <c r="M3" s="6" t="n"/>
      <c r="N3" s="6" t="n"/>
      <c r="O3" s="5" t="n"/>
      <c r="P3" s="7">
        <f>設定!C15</f>
        <v/>
      </c>
      <c r="AJ3" s="8" t="inlineStr">
        <is>
          <t>有/休/特/代/欠</t>
        </is>
      </c>
      <c r="AK3" s="9" t="inlineStr">
        <is>
          <t>午前/午後</t>
        </is>
      </c>
      <c r="AL3" s="10" t="inlineStr">
        <is>
          <t>在/外</t>
        </is>
      </c>
      <c r="AM3" s="11" t="inlineStr">
        <is>
          <t>(申請中)</t>
        </is>
      </c>
      <c r="AN3" s="12" t="inlineStr">
        <is>
          <t>休業日</t>
        </is>
      </c>
    </row>
    <row r="5" ht="18" customHeight="1">
      <c r="B5" s="13" t="inlineStr">
        <is>
          <t>氏名</t>
        </is>
      </c>
      <c r="C5" s="13" t="inlineStr">
        <is>
          <t>区分</t>
        </is>
      </c>
      <c r="D5" s="14">
        <f>DATE($C$3,$E$3,1)</f>
        <v/>
      </c>
      <c r="E5" s="14">
        <f t="shared" ref="E5:AH5" si="0">IF(D5="","",IF(DAY(D5+1)=1,"",D5+1))</f>
        <v/>
      </c>
      <c r="F5" s="14">
        <f t="shared" si="0"/>
        <v/>
      </c>
      <c r="G5" s="14">
        <f t="shared" si="0"/>
        <v/>
      </c>
      <c r="H5" s="14">
        <f t="shared" si="0"/>
        <v/>
      </c>
      <c r="I5" s="14">
        <f t="shared" si="0"/>
        <v/>
      </c>
      <c r="J5" s="14">
        <f t="shared" si="0"/>
        <v/>
      </c>
      <c r="K5" s="14">
        <f t="shared" si="0"/>
        <v/>
      </c>
      <c r="L5" s="14">
        <f t="shared" si="0"/>
        <v/>
      </c>
      <c r="M5" s="14">
        <f t="shared" si="0"/>
        <v/>
      </c>
      <c r="N5" s="14">
        <f t="shared" si="0"/>
        <v/>
      </c>
      <c r="O5" s="14">
        <f t="shared" si="0"/>
        <v/>
      </c>
      <c r="P5" s="14">
        <f t="shared" si="0"/>
        <v/>
      </c>
      <c r="Q5" s="14">
        <f t="shared" si="0"/>
        <v/>
      </c>
      <c r="R5" s="14">
        <f t="shared" si="0"/>
        <v/>
      </c>
      <c r="S5" s="14">
        <f t="shared" si="0"/>
        <v/>
      </c>
      <c r="T5" s="14">
        <f t="shared" si="0"/>
        <v/>
      </c>
      <c r="U5" s="14">
        <f t="shared" si="0"/>
        <v/>
      </c>
      <c r="V5" s="14">
        <f t="shared" si="0"/>
        <v/>
      </c>
      <c r="W5" s="14">
        <f t="shared" si="0"/>
        <v/>
      </c>
      <c r="X5" s="14">
        <f t="shared" si="0"/>
        <v/>
      </c>
      <c r="Y5" s="14">
        <f t="shared" si="0"/>
        <v/>
      </c>
      <c r="Z5" s="14">
        <f t="shared" si="0"/>
        <v/>
      </c>
      <c r="AA5" s="14">
        <f t="shared" si="0"/>
        <v/>
      </c>
      <c r="AB5" s="14">
        <f t="shared" si="0"/>
        <v/>
      </c>
      <c r="AC5" s="14">
        <f t="shared" si="0"/>
        <v/>
      </c>
      <c r="AD5" s="14">
        <f t="shared" si="0"/>
        <v/>
      </c>
      <c r="AE5" s="14">
        <f t="shared" si="0"/>
        <v/>
      </c>
      <c r="AF5" s="14">
        <f t="shared" si="0"/>
        <v/>
      </c>
      <c r="AG5" s="14">
        <f t="shared" si="0"/>
        <v/>
      </c>
      <c r="AH5" s="14">
        <f t="shared" si="0"/>
        <v/>
      </c>
      <c r="AJ5" s="13" t="inlineStr">
        <is>
          <t>所定日数</t>
        </is>
      </c>
      <c r="AK5" s="13" t="inlineStr">
        <is>
          <t>出勤日数</t>
        </is>
      </c>
      <c r="AL5" s="13" t="inlineStr">
        <is>
          <t>休暇日数</t>
        </is>
      </c>
      <c r="AM5" s="13" t="inlineStr">
        <is>
          <t>有給日数</t>
        </is>
      </c>
    </row>
    <row r="6">
      <c r="B6" s="15" t="n"/>
      <c r="C6" s="15" t="n"/>
      <c r="D6" s="16">
        <f t="shared" ref="D6:AH6" si="1">IF(D5="","",CHOOSE(WEEKDAY(D5,2),"月","火","水","木","金","土","日"))</f>
        <v/>
      </c>
      <c r="E6" s="16">
        <f t="shared" si="1"/>
        <v/>
      </c>
      <c r="F6" s="16">
        <f t="shared" si="1"/>
        <v/>
      </c>
      <c r="G6" s="16">
        <f t="shared" si="1"/>
        <v/>
      </c>
      <c r="H6" s="16">
        <f t="shared" si="1"/>
        <v/>
      </c>
      <c r="I6" s="16">
        <f t="shared" si="1"/>
        <v/>
      </c>
      <c r="J6" s="16">
        <f t="shared" si="1"/>
        <v/>
      </c>
      <c r="K6" s="16">
        <f t="shared" si="1"/>
        <v/>
      </c>
      <c r="L6" s="16">
        <f t="shared" si="1"/>
        <v/>
      </c>
      <c r="M6" s="16">
        <f t="shared" si="1"/>
        <v/>
      </c>
      <c r="N6" s="16">
        <f t="shared" si="1"/>
        <v/>
      </c>
      <c r="O6" s="16">
        <f t="shared" si="1"/>
        <v/>
      </c>
      <c r="P6" s="16">
        <f t="shared" si="1"/>
        <v/>
      </c>
      <c r="Q6" s="16">
        <f t="shared" si="1"/>
        <v/>
      </c>
      <c r="R6" s="16">
        <f t="shared" si="1"/>
        <v/>
      </c>
      <c r="S6" s="16">
        <f t="shared" si="1"/>
        <v/>
      </c>
      <c r="T6" s="16">
        <f t="shared" si="1"/>
        <v/>
      </c>
      <c r="U6" s="16">
        <f t="shared" si="1"/>
        <v/>
      </c>
      <c r="V6" s="16">
        <f t="shared" si="1"/>
        <v/>
      </c>
      <c r="W6" s="16">
        <f t="shared" si="1"/>
        <v/>
      </c>
      <c r="X6" s="16">
        <f t="shared" si="1"/>
        <v/>
      </c>
      <c r="Y6" s="16">
        <f t="shared" si="1"/>
        <v/>
      </c>
      <c r="Z6" s="16">
        <f t="shared" si="1"/>
        <v/>
      </c>
      <c r="AA6" s="16">
        <f t="shared" si="1"/>
        <v/>
      </c>
      <c r="AB6" s="16">
        <f t="shared" si="1"/>
        <v/>
      </c>
      <c r="AC6" s="16">
        <f t="shared" si="1"/>
        <v/>
      </c>
      <c r="AD6" s="16">
        <f t="shared" si="1"/>
        <v/>
      </c>
      <c r="AE6" s="16">
        <f t="shared" si="1"/>
        <v/>
      </c>
      <c r="AF6" s="16">
        <f t="shared" si="1"/>
        <v/>
      </c>
      <c r="AG6" s="16">
        <f t="shared" si="1"/>
        <v/>
      </c>
      <c r="AH6" s="16">
        <f t="shared" si="1"/>
        <v/>
      </c>
      <c r="AJ6" s="15" t="n"/>
      <c r="AK6" s="15" t="n"/>
      <c r="AL6" s="15" t="n"/>
      <c r="AM6" s="15" t="n"/>
    </row>
    <row r="7">
      <c r="B7" s="17" t="n"/>
      <c r="C7" s="17" t="n"/>
      <c r="D7" s="18">
        <f t="shared" ref="D7:AH7" si="2">IF(D5="","",IF(OR(INDEX(BIZ_DAYS,WEEKDAY(D5,2))="×",COUNTIF(HOLIDAYS,D5)&gt;0),"休業",""))</f>
        <v/>
      </c>
      <c r="E7" s="18">
        <f t="shared" si="2"/>
        <v/>
      </c>
      <c r="F7" s="18">
        <f t="shared" si="2"/>
        <v/>
      </c>
      <c r="G7" s="18">
        <f t="shared" si="2"/>
        <v/>
      </c>
      <c r="H7" s="18">
        <f t="shared" si="2"/>
        <v/>
      </c>
      <c r="I7" s="18">
        <f t="shared" si="2"/>
        <v/>
      </c>
      <c r="J7" s="18">
        <f t="shared" si="2"/>
        <v/>
      </c>
      <c r="K7" s="18">
        <f t="shared" si="2"/>
        <v/>
      </c>
      <c r="L7" s="18">
        <f t="shared" si="2"/>
        <v/>
      </c>
      <c r="M7" s="18">
        <f t="shared" si="2"/>
        <v/>
      </c>
      <c r="N7" s="18">
        <f t="shared" si="2"/>
        <v/>
      </c>
      <c r="O7" s="18">
        <f t="shared" si="2"/>
        <v/>
      </c>
      <c r="P7" s="18">
        <f t="shared" si="2"/>
        <v/>
      </c>
      <c r="Q7" s="18">
        <f t="shared" si="2"/>
        <v/>
      </c>
      <c r="R7" s="18">
        <f t="shared" si="2"/>
        <v/>
      </c>
      <c r="S7" s="18">
        <f t="shared" si="2"/>
        <v/>
      </c>
      <c r="T7" s="18">
        <f t="shared" si="2"/>
        <v/>
      </c>
      <c r="U7" s="18">
        <f t="shared" si="2"/>
        <v/>
      </c>
      <c r="V7" s="18">
        <f t="shared" si="2"/>
        <v/>
      </c>
      <c r="W7" s="18">
        <f t="shared" si="2"/>
        <v/>
      </c>
      <c r="X7" s="18">
        <f t="shared" si="2"/>
        <v/>
      </c>
      <c r="Y7" s="18">
        <f t="shared" si="2"/>
        <v/>
      </c>
      <c r="Z7" s="18">
        <f t="shared" si="2"/>
        <v/>
      </c>
      <c r="AA7" s="18">
        <f t="shared" si="2"/>
        <v/>
      </c>
      <c r="AB7" s="18">
        <f t="shared" si="2"/>
        <v/>
      </c>
      <c r="AC7" s="18">
        <f t="shared" si="2"/>
        <v/>
      </c>
      <c r="AD7" s="18">
        <f t="shared" si="2"/>
        <v/>
      </c>
      <c r="AE7" s="18">
        <f t="shared" si="2"/>
        <v/>
      </c>
      <c r="AF7" s="18">
        <f t="shared" si="2"/>
        <v/>
      </c>
      <c r="AG7" s="18">
        <f t="shared" si="2"/>
        <v/>
      </c>
      <c r="AH7" s="18">
        <f t="shared" si="2"/>
        <v/>
      </c>
      <c r="AJ7" s="17" t="n"/>
      <c r="AK7" s="17" t="n"/>
      <c r="AL7" s="17" t="n"/>
      <c r="AM7" s="17" t="n"/>
    </row>
    <row r="8">
      <c r="B8" s="19">
        <f t="shared" ref="B8:B13" si="3">設定!B5</f>
        <v/>
      </c>
      <c r="C8" s="20">
        <f t="shared" ref="C8:C13" si="4">設定!C5</f>
        <v/>
      </c>
      <c r="D8" s="21">
        <f t="shared" ref="D8:AH8" si="5">IF(OR($B8="",D$5=""),"",IF(D$7="休業","",IF(INDEX(STAFF_DAYS,MATCH($B8,STAFF_NAMES,0),WEEKDAY(D$5,2))="×","－",IFERROR(INDEX(LOG_SYM,MATCH($B8&amp;"|"&amp;TEXT(D$5,"yyyymmdd"),KEY_A,0)),IFERROR("("&amp;INDEX(LOG_SYM,MATCH($B8&amp;"|"&amp;TEXT(D$5,"yyyymmdd"),KEY_P,0))&amp;")","")))))</f>
        <v/>
      </c>
      <c r="E8" s="21">
        <f t="shared" si="5"/>
        <v/>
      </c>
      <c r="F8" s="21">
        <f t="shared" si="5"/>
        <v/>
      </c>
      <c r="G8" s="21">
        <f t="shared" si="5"/>
        <v/>
      </c>
      <c r="H8" s="21">
        <f t="shared" si="5"/>
        <v/>
      </c>
      <c r="I8" s="21">
        <f t="shared" si="5"/>
        <v/>
      </c>
      <c r="J8" s="21">
        <f t="shared" si="5"/>
        <v/>
      </c>
      <c r="K8" s="21">
        <f t="shared" si="5"/>
        <v/>
      </c>
      <c r="L8" s="21">
        <f t="shared" si="5"/>
        <v/>
      </c>
      <c r="M8" s="21">
        <f t="shared" si="5"/>
        <v/>
      </c>
      <c r="N8" s="21">
        <f t="shared" si="5"/>
        <v/>
      </c>
      <c r="O8" s="21">
        <f t="shared" si="5"/>
        <v/>
      </c>
      <c r="P8" s="21">
        <f t="shared" si="5"/>
        <v/>
      </c>
      <c r="Q8" s="21">
        <f t="shared" si="5"/>
        <v/>
      </c>
      <c r="R8" s="21">
        <f t="shared" si="5"/>
        <v/>
      </c>
      <c r="S8" s="21">
        <f t="shared" si="5"/>
        <v/>
      </c>
      <c r="T8" s="21">
        <f t="shared" si="5"/>
        <v/>
      </c>
      <c r="U8" s="21">
        <f t="shared" si="5"/>
        <v/>
      </c>
      <c r="V8" s="21">
        <f t="shared" si="5"/>
        <v/>
      </c>
      <c r="W8" s="21">
        <f t="shared" si="5"/>
        <v/>
      </c>
      <c r="X8" s="21">
        <f t="shared" si="5"/>
        <v/>
      </c>
      <c r="Y8" s="21">
        <f t="shared" si="5"/>
        <v/>
      </c>
      <c r="Z8" s="21">
        <f t="shared" si="5"/>
        <v/>
      </c>
      <c r="AA8" s="21">
        <f t="shared" si="5"/>
        <v/>
      </c>
      <c r="AB8" s="21">
        <f t="shared" si="5"/>
        <v/>
      </c>
      <c r="AC8" s="21">
        <f t="shared" si="5"/>
        <v/>
      </c>
      <c r="AD8" s="21">
        <f t="shared" si="5"/>
        <v/>
      </c>
      <c r="AE8" s="21">
        <f t="shared" si="5"/>
        <v/>
      </c>
      <c r="AF8" s="21">
        <f t="shared" si="5"/>
        <v/>
      </c>
      <c r="AG8" s="21">
        <f t="shared" si="5"/>
        <v/>
      </c>
      <c r="AH8" s="21">
        <f t="shared" si="5"/>
        <v/>
      </c>
      <c r="AJ8" s="22">
        <f t="shared" ref="AJ8:AJ13" si="6">IF($B8="","",COUNT(D23:AH23))</f>
        <v/>
      </c>
      <c r="AK8" s="23">
        <f t="shared" ref="AK8:AK13" si="7">IF($B8="","",SUM(D23:AH23))</f>
        <v/>
      </c>
      <c r="AL8" s="23">
        <f t="shared" ref="AL8:AL13" si="8">IF($B8="","",AJ8-AK8)</f>
        <v/>
      </c>
      <c r="AM8" s="23">
        <f t="shared" ref="AM8:AM13" si="9">IF($B8="","",COUNTIF(D8:AH8,"有")+0.5*(COUNTIF(D8:AH8,"午前")+COUNTIF(D8:AH8,"午後")))</f>
        <v/>
      </c>
    </row>
    <row r="9">
      <c r="B9" s="19">
        <f t="shared" si="3"/>
        <v/>
      </c>
      <c r="C9" s="20">
        <f t="shared" si="4"/>
        <v/>
      </c>
      <c r="D9" s="21">
        <f t="shared" ref="D9:AH9" si="10">IF(OR($B9="",D$5=""),"",IF(D$7="休業","",IF(INDEX(STAFF_DAYS,MATCH($B9,STAFF_NAMES,0),WEEKDAY(D$5,2))="×","－",IFERROR(INDEX(LOG_SYM,MATCH($B9&amp;"|"&amp;TEXT(D$5,"yyyymmdd"),KEY_A,0)),IFERROR("("&amp;INDEX(LOG_SYM,MATCH($B9&amp;"|"&amp;TEXT(D$5,"yyyymmdd"),KEY_P,0))&amp;")","")))))</f>
        <v/>
      </c>
      <c r="E9" s="21">
        <f t="shared" si="10"/>
        <v/>
      </c>
      <c r="F9" s="21">
        <f t="shared" si="10"/>
        <v/>
      </c>
      <c r="G9" s="21">
        <f t="shared" si="10"/>
        <v/>
      </c>
      <c r="H9" s="21">
        <f t="shared" si="10"/>
        <v/>
      </c>
      <c r="I9" s="21">
        <f t="shared" si="10"/>
        <v/>
      </c>
      <c r="J9" s="21">
        <f t="shared" si="10"/>
        <v/>
      </c>
      <c r="K9" s="21">
        <f t="shared" si="10"/>
        <v/>
      </c>
      <c r="L9" s="21">
        <f t="shared" si="10"/>
        <v/>
      </c>
      <c r="M9" s="21">
        <f t="shared" si="10"/>
        <v/>
      </c>
      <c r="N9" s="21">
        <f t="shared" si="10"/>
        <v/>
      </c>
      <c r="O9" s="21">
        <f t="shared" si="10"/>
        <v/>
      </c>
      <c r="P9" s="21">
        <f t="shared" si="10"/>
        <v/>
      </c>
      <c r="Q9" s="21">
        <f t="shared" si="10"/>
        <v/>
      </c>
      <c r="R9" s="21">
        <f t="shared" si="10"/>
        <v/>
      </c>
      <c r="S9" s="21">
        <f t="shared" si="10"/>
        <v/>
      </c>
      <c r="T9" s="21">
        <f t="shared" si="10"/>
        <v/>
      </c>
      <c r="U9" s="21">
        <f t="shared" si="10"/>
        <v/>
      </c>
      <c r="V9" s="21">
        <f t="shared" si="10"/>
        <v/>
      </c>
      <c r="W9" s="21">
        <f t="shared" si="10"/>
        <v/>
      </c>
      <c r="X9" s="21">
        <f t="shared" si="10"/>
        <v/>
      </c>
      <c r="Y9" s="21">
        <f t="shared" si="10"/>
        <v/>
      </c>
      <c r="Z9" s="21">
        <f t="shared" si="10"/>
        <v/>
      </c>
      <c r="AA9" s="21">
        <f t="shared" si="10"/>
        <v/>
      </c>
      <c r="AB9" s="21">
        <f t="shared" si="10"/>
        <v/>
      </c>
      <c r="AC9" s="21">
        <f t="shared" si="10"/>
        <v/>
      </c>
      <c r="AD9" s="21">
        <f t="shared" si="10"/>
        <v/>
      </c>
      <c r="AE9" s="21">
        <f t="shared" si="10"/>
        <v/>
      </c>
      <c r="AF9" s="21">
        <f t="shared" si="10"/>
        <v/>
      </c>
      <c r="AG9" s="21">
        <f t="shared" si="10"/>
        <v/>
      </c>
      <c r="AH9" s="21">
        <f t="shared" si="10"/>
        <v/>
      </c>
      <c r="AJ9" s="22">
        <f t="shared" si="6"/>
        <v/>
      </c>
      <c r="AK9" s="23">
        <f t="shared" si="7"/>
        <v/>
      </c>
      <c r="AL9" s="23">
        <f t="shared" si="8"/>
        <v/>
      </c>
      <c r="AM9" s="23">
        <f t="shared" si="9"/>
        <v/>
      </c>
    </row>
    <row r="10">
      <c r="B10" s="19">
        <f t="shared" si="3"/>
        <v/>
      </c>
      <c r="C10" s="20">
        <f t="shared" si="4"/>
        <v/>
      </c>
      <c r="D10" s="21">
        <f t="shared" ref="D10:AH10" si="11">IF(OR($B10="",D$5=""),"",IF(D$7="休業","",IF(INDEX(STAFF_DAYS,MATCH($B10,STAFF_NAMES,0),WEEKDAY(D$5,2))="×","－",IFERROR(INDEX(LOG_SYM,MATCH($B10&amp;"|"&amp;TEXT(D$5,"yyyymmdd"),KEY_A,0)),IFERROR("("&amp;INDEX(LOG_SYM,MATCH($B10&amp;"|"&amp;TEXT(D$5,"yyyymmdd"),KEY_P,0))&amp;")","")))))</f>
        <v/>
      </c>
      <c r="E10" s="21">
        <f t="shared" si="11"/>
        <v/>
      </c>
      <c r="F10" s="21">
        <f t="shared" si="11"/>
        <v/>
      </c>
      <c r="G10" s="21">
        <f t="shared" si="11"/>
        <v/>
      </c>
      <c r="H10" s="21">
        <f t="shared" si="11"/>
        <v/>
      </c>
      <c r="I10" s="21">
        <f t="shared" si="11"/>
        <v/>
      </c>
      <c r="J10" s="21">
        <f t="shared" si="11"/>
        <v/>
      </c>
      <c r="K10" s="21">
        <f t="shared" si="11"/>
        <v/>
      </c>
      <c r="L10" s="21">
        <f t="shared" si="11"/>
        <v/>
      </c>
      <c r="M10" s="21">
        <f t="shared" si="11"/>
        <v/>
      </c>
      <c r="N10" s="21">
        <f t="shared" si="11"/>
        <v/>
      </c>
      <c r="O10" s="21">
        <f t="shared" si="11"/>
        <v/>
      </c>
      <c r="P10" s="21">
        <f t="shared" si="11"/>
        <v/>
      </c>
      <c r="Q10" s="21">
        <f t="shared" si="11"/>
        <v/>
      </c>
      <c r="R10" s="21">
        <f t="shared" si="11"/>
        <v/>
      </c>
      <c r="S10" s="21">
        <f t="shared" si="11"/>
        <v/>
      </c>
      <c r="T10" s="21">
        <f t="shared" si="11"/>
        <v/>
      </c>
      <c r="U10" s="21">
        <f t="shared" si="11"/>
        <v/>
      </c>
      <c r="V10" s="21">
        <f t="shared" si="11"/>
        <v/>
      </c>
      <c r="W10" s="21">
        <f t="shared" si="11"/>
        <v/>
      </c>
      <c r="X10" s="21">
        <f t="shared" si="11"/>
        <v/>
      </c>
      <c r="Y10" s="21">
        <f t="shared" si="11"/>
        <v/>
      </c>
      <c r="Z10" s="21">
        <f t="shared" si="11"/>
        <v/>
      </c>
      <c r="AA10" s="21">
        <f t="shared" si="11"/>
        <v/>
      </c>
      <c r="AB10" s="21">
        <f t="shared" si="11"/>
        <v/>
      </c>
      <c r="AC10" s="21">
        <f t="shared" si="11"/>
        <v/>
      </c>
      <c r="AD10" s="21">
        <f t="shared" si="11"/>
        <v/>
      </c>
      <c r="AE10" s="21">
        <f t="shared" si="11"/>
        <v/>
      </c>
      <c r="AF10" s="21">
        <f t="shared" si="11"/>
        <v/>
      </c>
      <c r="AG10" s="21">
        <f t="shared" si="11"/>
        <v/>
      </c>
      <c r="AH10" s="21">
        <f t="shared" si="11"/>
        <v/>
      </c>
      <c r="AJ10" s="22">
        <f t="shared" si="6"/>
        <v/>
      </c>
      <c r="AK10" s="23">
        <f t="shared" si="7"/>
        <v/>
      </c>
      <c r="AL10" s="23">
        <f t="shared" si="8"/>
        <v/>
      </c>
      <c r="AM10" s="23">
        <f t="shared" si="9"/>
        <v/>
      </c>
    </row>
    <row r="11">
      <c r="B11" s="19">
        <f t="shared" si="3"/>
        <v/>
      </c>
      <c r="C11" s="20">
        <f t="shared" si="4"/>
        <v/>
      </c>
      <c r="D11" s="21">
        <f t="shared" ref="D11:AH11" si="12">IF(OR($B11="",D$5=""),"",IF(D$7="休業","",IF(INDEX(STAFF_DAYS,MATCH($B11,STAFF_NAMES,0),WEEKDAY(D$5,2))="×","－",IFERROR(INDEX(LOG_SYM,MATCH($B11&amp;"|"&amp;TEXT(D$5,"yyyymmdd"),KEY_A,0)),IFERROR("("&amp;INDEX(LOG_SYM,MATCH($B11&amp;"|"&amp;TEXT(D$5,"yyyymmdd"),KEY_P,0))&amp;")","")))))</f>
        <v/>
      </c>
      <c r="E11" s="21">
        <f t="shared" si="12"/>
        <v/>
      </c>
      <c r="F11" s="21">
        <f t="shared" si="12"/>
        <v/>
      </c>
      <c r="G11" s="21">
        <f t="shared" si="12"/>
        <v/>
      </c>
      <c r="H11" s="21">
        <f t="shared" si="12"/>
        <v/>
      </c>
      <c r="I11" s="21">
        <f t="shared" si="12"/>
        <v/>
      </c>
      <c r="J11" s="21">
        <f t="shared" si="12"/>
        <v/>
      </c>
      <c r="K11" s="21">
        <f t="shared" si="12"/>
        <v/>
      </c>
      <c r="L11" s="21">
        <f t="shared" si="12"/>
        <v/>
      </c>
      <c r="M11" s="21">
        <f t="shared" si="12"/>
        <v/>
      </c>
      <c r="N11" s="21">
        <f t="shared" si="12"/>
        <v/>
      </c>
      <c r="O11" s="21">
        <f t="shared" si="12"/>
        <v/>
      </c>
      <c r="P11" s="21">
        <f t="shared" si="12"/>
        <v/>
      </c>
      <c r="Q11" s="21">
        <f t="shared" si="12"/>
        <v/>
      </c>
      <c r="R11" s="21">
        <f t="shared" si="12"/>
        <v/>
      </c>
      <c r="S11" s="21">
        <f t="shared" si="12"/>
        <v/>
      </c>
      <c r="T11" s="21">
        <f t="shared" si="12"/>
        <v/>
      </c>
      <c r="U11" s="21">
        <f t="shared" si="12"/>
        <v/>
      </c>
      <c r="V11" s="21">
        <f t="shared" si="12"/>
        <v/>
      </c>
      <c r="W11" s="21">
        <f t="shared" si="12"/>
        <v/>
      </c>
      <c r="X11" s="21">
        <f t="shared" si="12"/>
        <v/>
      </c>
      <c r="Y11" s="21">
        <f t="shared" si="12"/>
        <v/>
      </c>
      <c r="Z11" s="21">
        <f t="shared" si="12"/>
        <v/>
      </c>
      <c r="AA11" s="21">
        <f t="shared" si="12"/>
        <v/>
      </c>
      <c r="AB11" s="21">
        <f t="shared" si="12"/>
        <v/>
      </c>
      <c r="AC11" s="21">
        <f t="shared" si="12"/>
        <v/>
      </c>
      <c r="AD11" s="21">
        <f t="shared" si="12"/>
        <v/>
      </c>
      <c r="AE11" s="21">
        <f t="shared" si="12"/>
        <v/>
      </c>
      <c r="AF11" s="21">
        <f t="shared" si="12"/>
        <v/>
      </c>
      <c r="AG11" s="21">
        <f t="shared" si="12"/>
        <v/>
      </c>
      <c r="AH11" s="21">
        <f t="shared" si="12"/>
        <v/>
      </c>
      <c r="AJ11" s="22">
        <f t="shared" si="6"/>
        <v/>
      </c>
      <c r="AK11" s="23">
        <f t="shared" si="7"/>
        <v/>
      </c>
      <c r="AL11" s="23">
        <f t="shared" si="8"/>
        <v/>
      </c>
      <c r="AM11" s="23">
        <f t="shared" si="9"/>
        <v/>
      </c>
    </row>
    <row r="12">
      <c r="B12" s="19">
        <f t="shared" si="3"/>
        <v/>
      </c>
      <c r="C12" s="20">
        <f t="shared" si="4"/>
        <v/>
      </c>
      <c r="D12" s="21">
        <f t="shared" ref="D12:AH12" si="13">IF(OR($B12="",D$5=""),"",IF(D$7="休業","",IF(INDEX(STAFF_DAYS,MATCH($B12,STAFF_NAMES,0),WEEKDAY(D$5,2))="×","－",IFERROR(INDEX(LOG_SYM,MATCH($B12&amp;"|"&amp;TEXT(D$5,"yyyymmdd"),KEY_A,0)),IFERROR("("&amp;INDEX(LOG_SYM,MATCH($B12&amp;"|"&amp;TEXT(D$5,"yyyymmdd"),KEY_P,0))&amp;")","")))))</f>
        <v/>
      </c>
      <c r="E12" s="21">
        <f t="shared" si="13"/>
        <v/>
      </c>
      <c r="F12" s="21">
        <f t="shared" si="13"/>
        <v/>
      </c>
      <c r="G12" s="21">
        <f t="shared" si="13"/>
        <v/>
      </c>
      <c r="H12" s="21">
        <f t="shared" si="13"/>
        <v/>
      </c>
      <c r="I12" s="21">
        <f t="shared" si="13"/>
        <v/>
      </c>
      <c r="J12" s="21">
        <f t="shared" si="13"/>
        <v/>
      </c>
      <c r="K12" s="21">
        <f t="shared" si="13"/>
        <v/>
      </c>
      <c r="L12" s="21">
        <f t="shared" si="13"/>
        <v/>
      </c>
      <c r="M12" s="21">
        <f t="shared" si="13"/>
        <v/>
      </c>
      <c r="N12" s="21">
        <f t="shared" si="13"/>
        <v/>
      </c>
      <c r="O12" s="21">
        <f t="shared" si="13"/>
        <v/>
      </c>
      <c r="P12" s="21">
        <f t="shared" si="13"/>
        <v/>
      </c>
      <c r="Q12" s="21">
        <f t="shared" si="13"/>
        <v/>
      </c>
      <c r="R12" s="21">
        <f t="shared" si="13"/>
        <v/>
      </c>
      <c r="S12" s="21">
        <f t="shared" si="13"/>
        <v/>
      </c>
      <c r="T12" s="21">
        <f t="shared" si="13"/>
        <v/>
      </c>
      <c r="U12" s="21">
        <f t="shared" si="13"/>
        <v/>
      </c>
      <c r="V12" s="21">
        <f t="shared" si="13"/>
        <v/>
      </c>
      <c r="W12" s="21">
        <f t="shared" si="13"/>
        <v/>
      </c>
      <c r="X12" s="21">
        <f t="shared" si="13"/>
        <v/>
      </c>
      <c r="Y12" s="21">
        <f t="shared" si="13"/>
        <v/>
      </c>
      <c r="Z12" s="21">
        <f t="shared" si="13"/>
        <v/>
      </c>
      <c r="AA12" s="21">
        <f t="shared" si="13"/>
        <v/>
      </c>
      <c r="AB12" s="21">
        <f t="shared" si="13"/>
        <v/>
      </c>
      <c r="AC12" s="21">
        <f t="shared" si="13"/>
        <v/>
      </c>
      <c r="AD12" s="21">
        <f t="shared" si="13"/>
        <v/>
      </c>
      <c r="AE12" s="21">
        <f t="shared" si="13"/>
        <v/>
      </c>
      <c r="AF12" s="21">
        <f t="shared" si="13"/>
        <v/>
      </c>
      <c r="AG12" s="21">
        <f t="shared" si="13"/>
        <v/>
      </c>
      <c r="AH12" s="21">
        <f t="shared" si="13"/>
        <v/>
      </c>
      <c r="AJ12" s="22">
        <f t="shared" si="6"/>
        <v/>
      </c>
      <c r="AK12" s="23">
        <f t="shared" si="7"/>
        <v/>
      </c>
      <c r="AL12" s="23">
        <f t="shared" si="8"/>
        <v/>
      </c>
      <c r="AM12" s="23">
        <f t="shared" si="9"/>
        <v/>
      </c>
    </row>
    <row r="13">
      <c r="B13" s="19">
        <f t="shared" si="3"/>
        <v/>
      </c>
      <c r="C13" s="20">
        <f t="shared" si="4"/>
        <v/>
      </c>
      <c r="D13" s="21">
        <f t="shared" ref="D13:AH13" si="14">IF(OR($B13="",D$5=""),"",IF(D$7="休業","",IF(INDEX(STAFF_DAYS,MATCH($B13,STAFF_NAMES,0),WEEKDAY(D$5,2))="×","－",IFERROR(INDEX(LOG_SYM,MATCH($B13&amp;"|"&amp;TEXT(D$5,"yyyymmdd"),KEY_A,0)),IFERROR("("&amp;INDEX(LOG_SYM,MATCH($B13&amp;"|"&amp;TEXT(D$5,"yyyymmdd"),KEY_P,0))&amp;")","")))))</f>
        <v/>
      </c>
      <c r="E13" s="21">
        <f t="shared" si="14"/>
        <v/>
      </c>
      <c r="F13" s="21">
        <f t="shared" si="14"/>
        <v/>
      </c>
      <c r="G13" s="21">
        <f t="shared" si="14"/>
        <v/>
      </c>
      <c r="H13" s="21">
        <f t="shared" si="14"/>
        <v/>
      </c>
      <c r="I13" s="21">
        <f t="shared" si="14"/>
        <v/>
      </c>
      <c r="J13" s="21">
        <f t="shared" si="14"/>
        <v/>
      </c>
      <c r="K13" s="21">
        <f t="shared" si="14"/>
        <v/>
      </c>
      <c r="L13" s="21">
        <f t="shared" si="14"/>
        <v/>
      </c>
      <c r="M13" s="21">
        <f t="shared" si="14"/>
        <v/>
      </c>
      <c r="N13" s="21">
        <f t="shared" si="14"/>
        <v/>
      </c>
      <c r="O13" s="21">
        <f t="shared" si="14"/>
        <v/>
      </c>
      <c r="P13" s="21">
        <f t="shared" si="14"/>
        <v/>
      </c>
      <c r="Q13" s="21">
        <f t="shared" si="14"/>
        <v/>
      </c>
      <c r="R13" s="21">
        <f t="shared" si="14"/>
        <v/>
      </c>
      <c r="S13" s="21">
        <f t="shared" si="14"/>
        <v/>
      </c>
      <c r="T13" s="21">
        <f t="shared" si="14"/>
        <v/>
      </c>
      <c r="U13" s="21">
        <f t="shared" si="14"/>
        <v/>
      </c>
      <c r="V13" s="21">
        <f t="shared" si="14"/>
        <v/>
      </c>
      <c r="W13" s="21">
        <f t="shared" si="14"/>
        <v/>
      </c>
      <c r="X13" s="21">
        <f t="shared" si="14"/>
        <v/>
      </c>
      <c r="Y13" s="21">
        <f t="shared" si="14"/>
        <v/>
      </c>
      <c r="Z13" s="21">
        <f t="shared" si="14"/>
        <v/>
      </c>
      <c r="AA13" s="21">
        <f t="shared" si="14"/>
        <v/>
      </c>
      <c r="AB13" s="21">
        <f t="shared" si="14"/>
        <v/>
      </c>
      <c r="AC13" s="21">
        <f t="shared" si="14"/>
        <v/>
      </c>
      <c r="AD13" s="21">
        <f t="shared" si="14"/>
        <v/>
      </c>
      <c r="AE13" s="21">
        <f t="shared" si="14"/>
        <v/>
      </c>
      <c r="AF13" s="21">
        <f t="shared" si="14"/>
        <v/>
      </c>
      <c r="AG13" s="21">
        <f t="shared" si="14"/>
        <v/>
      </c>
      <c r="AH13" s="21">
        <f t="shared" si="14"/>
        <v/>
      </c>
      <c r="AJ13" s="22">
        <f t="shared" si="6"/>
        <v/>
      </c>
      <c r="AK13" s="23">
        <f t="shared" si="7"/>
        <v/>
      </c>
      <c r="AL13" s="23">
        <f t="shared" si="8"/>
        <v/>
      </c>
      <c r="AM13" s="23">
        <f t="shared" si="9"/>
        <v/>
      </c>
    </row>
    <row r="15">
      <c r="B15" s="24" t="inlineStr">
        <is>
          <t>出勤人数（承認済み反映）</t>
        </is>
      </c>
      <c r="C15" s="5" t="n"/>
      <c r="D15" s="25">
        <f t="shared" ref="D15:AH15" si="15">IF(D$5="","",IF(D$7="休業","－",SUM(D23:D28)))</f>
        <v/>
      </c>
      <c r="E15" s="25">
        <f t="shared" si="15"/>
        <v/>
      </c>
      <c r="F15" s="25">
        <f t="shared" si="15"/>
        <v/>
      </c>
      <c r="G15" s="25">
        <f t="shared" si="15"/>
        <v/>
      </c>
      <c r="H15" s="25">
        <f t="shared" si="15"/>
        <v/>
      </c>
      <c r="I15" s="25">
        <f t="shared" si="15"/>
        <v/>
      </c>
      <c r="J15" s="25">
        <f t="shared" si="15"/>
        <v/>
      </c>
      <c r="K15" s="25">
        <f t="shared" si="15"/>
        <v/>
      </c>
      <c r="L15" s="25">
        <f t="shared" si="15"/>
        <v/>
      </c>
      <c r="M15" s="25">
        <f t="shared" si="15"/>
        <v/>
      </c>
      <c r="N15" s="25">
        <f t="shared" si="15"/>
        <v/>
      </c>
      <c r="O15" s="25">
        <f t="shared" si="15"/>
        <v/>
      </c>
      <c r="P15" s="25">
        <f t="shared" si="15"/>
        <v/>
      </c>
      <c r="Q15" s="25">
        <f t="shared" si="15"/>
        <v/>
      </c>
      <c r="R15" s="25">
        <f t="shared" si="15"/>
        <v/>
      </c>
      <c r="S15" s="25">
        <f t="shared" si="15"/>
        <v/>
      </c>
      <c r="T15" s="25">
        <f t="shared" si="15"/>
        <v/>
      </c>
      <c r="U15" s="25">
        <f t="shared" si="15"/>
        <v/>
      </c>
      <c r="V15" s="25">
        <f t="shared" si="15"/>
        <v/>
      </c>
      <c r="W15" s="25">
        <f t="shared" si="15"/>
        <v/>
      </c>
      <c r="X15" s="25">
        <f t="shared" si="15"/>
        <v/>
      </c>
      <c r="Y15" s="25">
        <f t="shared" si="15"/>
        <v/>
      </c>
      <c r="Z15" s="25">
        <f t="shared" si="15"/>
        <v/>
      </c>
      <c r="AA15" s="25">
        <f t="shared" si="15"/>
        <v/>
      </c>
      <c r="AB15" s="25">
        <f t="shared" si="15"/>
        <v/>
      </c>
      <c r="AC15" s="25">
        <f t="shared" si="15"/>
        <v/>
      </c>
      <c r="AD15" s="25">
        <f t="shared" si="15"/>
        <v/>
      </c>
      <c r="AE15" s="25">
        <f t="shared" si="15"/>
        <v/>
      </c>
      <c r="AF15" s="25">
        <f t="shared" si="15"/>
        <v/>
      </c>
      <c r="AG15" s="25">
        <f t="shared" si="15"/>
        <v/>
      </c>
      <c r="AH15" s="25">
        <f t="shared" si="15"/>
        <v/>
      </c>
    </row>
    <row r="16">
      <c r="B16" s="26" t="inlineStr">
        <is>
          <t xml:space="preserve">　うち正社員</t>
        </is>
      </c>
      <c r="C16" s="5" t="n"/>
      <c r="D16" s="23">
        <f t="shared" ref="D16:AH16" si="16">IF(D$5="","",IF(D$7="休業","－",SUMIF($C$8:$C$13,"正社員",D23:D28)))</f>
        <v/>
      </c>
      <c r="E16" s="23">
        <f t="shared" si="16"/>
        <v/>
      </c>
      <c r="F16" s="23">
        <f t="shared" si="16"/>
        <v/>
      </c>
      <c r="G16" s="23">
        <f t="shared" si="16"/>
        <v/>
      </c>
      <c r="H16" s="23">
        <f t="shared" si="16"/>
        <v/>
      </c>
      <c r="I16" s="23">
        <f t="shared" si="16"/>
        <v/>
      </c>
      <c r="J16" s="23">
        <f t="shared" si="16"/>
        <v/>
      </c>
      <c r="K16" s="23">
        <f t="shared" si="16"/>
        <v/>
      </c>
      <c r="L16" s="23">
        <f t="shared" si="16"/>
        <v/>
      </c>
      <c r="M16" s="23">
        <f t="shared" si="16"/>
        <v/>
      </c>
      <c r="N16" s="23">
        <f t="shared" si="16"/>
        <v/>
      </c>
      <c r="O16" s="23">
        <f t="shared" si="16"/>
        <v/>
      </c>
      <c r="P16" s="23">
        <f t="shared" si="16"/>
        <v/>
      </c>
      <c r="Q16" s="23">
        <f t="shared" si="16"/>
        <v/>
      </c>
      <c r="R16" s="23">
        <f t="shared" si="16"/>
        <v/>
      </c>
      <c r="S16" s="23">
        <f t="shared" si="16"/>
        <v/>
      </c>
      <c r="T16" s="23">
        <f t="shared" si="16"/>
        <v/>
      </c>
      <c r="U16" s="23">
        <f t="shared" si="16"/>
        <v/>
      </c>
      <c r="V16" s="23">
        <f t="shared" si="16"/>
        <v/>
      </c>
      <c r="W16" s="23">
        <f t="shared" si="16"/>
        <v/>
      </c>
      <c r="X16" s="23">
        <f t="shared" si="16"/>
        <v/>
      </c>
      <c r="Y16" s="23">
        <f t="shared" si="16"/>
        <v/>
      </c>
      <c r="Z16" s="23">
        <f t="shared" si="16"/>
        <v/>
      </c>
      <c r="AA16" s="23">
        <f t="shared" si="16"/>
        <v/>
      </c>
      <c r="AB16" s="23">
        <f t="shared" si="16"/>
        <v/>
      </c>
      <c r="AC16" s="23">
        <f t="shared" si="16"/>
        <v/>
      </c>
      <c r="AD16" s="23">
        <f t="shared" si="16"/>
        <v/>
      </c>
      <c r="AE16" s="23">
        <f t="shared" si="16"/>
        <v/>
      </c>
      <c r="AF16" s="23">
        <f t="shared" si="16"/>
        <v/>
      </c>
      <c r="AG16" s="23">
        <f t="shared" si="16"/>
        <v/>
      </c>
      <c r="AH16" s="23">
        <f t="shared" si="16"/>
        <v/>
      </c>
    </row>
    <row r="17">
      <c r="B17" s="26" t="inlineStr">
        <is>
          <t xml:space="preserve">　うち派遣</t>
        </is>
      </c>
      <c r="C17" s="5" t="n"/>
      <c r="D17" s="23">
        <f t="shared" ref="D17:AH17" si="17">IF(D$5="","",IF(D$7="休業","－",SUMIF($C$8:$C$13,"派遣",D23:D28)))</f>
        <v/>
      </c>
      <c r="E17" s="23">
        <f t="shared" si="17"/>
        <v/>
      </c>
      <c r="F17" s="23">
        <f t="shared" si="17"/>
        <v/>
      </c>
      <c r="G17" s="23">
        <f t="shared" si="17"/>
        <v/>
      </c>
      <c r="H17" s="23">
        <f t="shared" si="17"/>
        <v/>
      </c>
      <c r="I17" s="23">
        <f t="shared" si="17"/>
        <v/>
      </c>
      <c r="J17" s="23">
        <f t="shared" si="17"/>
        <v/>
      </c>
      <c r="K17" s="23">
        <f t="shared" si="17"/>
        <v/>
      </c>
      <c r="L17" s="23">
        <f t="shared" si="17"/>
        <v/>
      </c>
      <c r="M17" s="23">
        <f t="shared" si="17"/>
        <v/>
      </c>
      <c r="N17" s="23">
        <f t="shared" si="17"/>
        <v/>
      </c>
      <c r="O17" s="23">
        <f t="shared" si="17"/>
        <v/>
      </c>
      <c r="P17" s="23">
        <f t="shared" si="17"/>
        <v/>
      </c>
      <c r="Q17" s="23">
        <f t="shared" si="17"/>
        <v/>
      </c>
      <c r="R17" s="23">
        <f t="shared" si="17"/>
        <v/>
      </c>
      <c r="S17" s="23">
        <f t="shared" si="17"/>
        <v/>
      </c>
      <c r="T17" s="23">
        <f t="shared" si="17"/>
        <v/>
      </c>
      <c r="U17" s="23">
        <f t="shared" si="17"/>
        <v/>
      </c>
      <c r="V17" s="23">
        <f t="shared" si="17"/>
        <v/>
      </c>
      <c r="W17" s="23">
        <f t="shared" si="17"/>
        <v/>
      </c>
      <c r="X17" s="23">
        <f t="shared" si="17"/>
        <v/>
      </c>
      <c r="Y17" s="23">
        <f t="shared" si="17"/>
        <v/>
      </c>
      <c r="Z17" s="23">
        <f t="shared" si="17"/>
        <v/>
      </c>
      <c r="AA17" s="23">
        <f t="shared" si="17"/>
        <v/>
      </c>
      <c r="AB17" s="23">
        <f t="shared" si="17"/>
        <v/>
      </c>
      <c r="AC17" s="23">
        <f t="shared" si="17"/>
        <v/>
      </c>
      <c r="AD17" s="23">
        <f t="shared" si="17"/>
        <v/>
      </c>
      <c r="AE17" s="23">
        <f t="shared" si="17"/>
        <v/>
      </c>
      <c r="AF17" s="23">
        <f t="shared" si="17"/>
        <v/>
      </c>
      <c r="AG17" s="23">
        <f t="shared" si="17"/>
        <v/>
      </c>
      <c r="AH17" s="23">
        <f t="shared" si="17"/>
        <v/>
      </c>
    </row>
    <row r="18">
      <c r="B18" s="24" t="inlineStr">
        <is>
          <t>判定（NG=下限割れ）</t>
        </is>
      </c>
      <c r="C18" s="5" t="n"/>
      <c r="D18" s="27">
        <f t="shared" ref="D18:AH18" si="18">IF(D$5="","",IF(D$7="休業","－",IF(OR(D15&lt;MIN_ALL,D16&lt;MIN_FT),"NG","OK")))</f>
        <v/>
      </c>
      <c r="E18" s="27">
        <f t="shared" si="18"/>
        <v/>
      </c>
      <c r="F18" s="27">
        <f t="shared" si="18"/>
        <v/>
      </c>
      <c r="G18" s="27">
        <f t="shared" si="18"/>
        <v/>
      </c>
      <c r="H18" s="27">
        <f t="shared" si="18"/>
        <v/>
      </c>
      <c r="I18" s="27">
        <f t="shared" si="18"/>
        <v/>
      </c>
      <c r="J18" s="27">
        <f t="shared" si="18"/>
        <v/>
      </c>
      <c r="K18" s="27">
        <f t="shared" si="18"/>
        <v/>
      </c>
      <c r="L18" s="27">
        <f t="shared" si="18"/>
        <v/>
      </c>
      <c r="M18" s="27">
        <f t="shared" si="18"/>
        <v/>
      </c>
      <c r="N18" s="27">
        <f t="shared" si="18"/>
        <v/>
      </c>
      <c r="O18" s="27">
        <f t="shared" si="18"/>
        <v/>
      </c>
      <c r="P18" s="27">
        <f t="shared" si="18"/>
        <v/>
      </c>
      <c r="Q18" s="27">
        <f t="shared" si="18"/>
        <v/>
      </c>
      <c r="R18" s="27">
        <f t="shared" si="18"/>
        <v/>
      </c>
      <c r="S18" s="27">
        <f t="shared" si="18"/>
        <v/>
      </c>
      <c r="T18" s="27">
        <f t="shared" si="18"/>
        <v/>
      </c>
      <c r="U18" s="27">
        <f t="shared" si="18"/>
        <v/>
      </c>
      <c r="V18" s="27">
        <f t="shared" si="18"/>
        <v/>
      </c>
      <c r="W18" s="27">
        <f t="shared" si="18"/>
        <v/>
      </c>
      <c r="X18" s="27">
        <f t="shared" si="18"/>
        <v/>
      </c>
      <c r="Y18" s="27">
        <f t="shared" si="18"/>
        <v/>
      </c>
      <c r="Z18" s="27">
        <f t="shared" si="18"/>
        <v/>
      </c>
      <c r="AA18" s="27">
        <f t="shared" si="18"/>
        <v/>
      </c>
      <c r="AB18" s="27">
        <f t="shared" si="18"/>
        <v/>
      </c>
      <c r="AC18" s="27">
        <f t="shared" si="18"/>
        <v/>
      </c>
      <c r="AD18" s="27">
        <f t="shared" si="18"/>
        <v/>
      </c>
      <c r="AE18" s="27">
        <f t="shared" si="18"/>
        <v/>
      </c>
      <c r="AF18" s="27">
        <f t="shared" si="18"/>
        <v/>
      </c>
      <c r="AG18" s="27">
        <f t="shared" si="18"/>
        <v/>
      </c>
      <c r="AH18" s="27">
        <f t="shared" si="18"/>
        <v/>
      </c>
    </row>
    <row r="19">
      <c r="B19" s="26" t="inlineStr">
        <is>
          <t>申請中も休みにした場合の出勤人数</t>
        </is>
      </c>
      <c r="C19" s="5" t="n"/>
      <c r="D19" s="23">
        <f t="shared" ref="D19:AH19" si="19">IF(D$5="","",IF(D$7="休業","－",SUM(D29:D34)))</f>
        <v/>
      </c>
      <c r="E19" s="23">
        <f t="shared" si="19"/>
        <v/>
      </c>
      <c r="F19" s="23">
        <f t="shared" si="19"/>
        <v/>
      </c>
      <c r="G19" s="23">
        <f t="shared" si="19"/>
        <v/>
      </c>
      <c r="H19" s="23">
        <f t="shared" si="19"/>
        <v/>
      </c>
      <c r="I19" s="23">
        <f t="shared" si="19"/>
        <v/>
      </c>
      <c r="J19" s="23">
        <f t="shared" si="19"/>
        <v/>
      </c>
      <c r="K19" s="23">
        <f t="shared" si="19"/>
        <v/>
      </c>
      <c r="L19" s="23">
        <f t="shared" si="19"/>
        <v/>
      </c>
      <c r="M19" s="23">
        <f t="shared" si="19"/>
        <v/>
      </c>
      <c r="N19" s="23">
        <f t="shared" si="19"/>
        <v/>
      </c>
      <c r="O19" s="23">
        <f t="shared" si="19"/>
        <v/>
      </c>
      <c r="P19" s="23">
        <f t="shared" si="19"/>
        <v/>
      </c>
      <c r="Q19" s="23">
        <f t="shared" si="19"/>
        <v/>
      </c>
      <c r="R19" s="23">
        <f t="shared" si="19"/>
        <v/>
      </c>
      <c r="S19" s="23">
        <f t="shared" si="19"/>
        <v/>
      </c>
      <c r="T19" s="23">
        <f t="shared" si="19"/>
        <v/>
      </c>
      <c r="U19" s="23">
        <f t="shared" si="19"/>
        <v/>
      </c>
      <c r="V19" s="23">
        <f t="shared" si="19"/>
        <v/>
      </c>
      <c r="W19" s="23">
        <f t="shared" si="19"/>
        <v/>
      </c>
      <c r="X19" s="23">
        <f t="shared" si="19"/>
        <v/>
      </c>
      <c r="Y19" s="23">
        <f t="shared" si="19"/>
        <v/>
      </c>
      <c r="Z19" s="23">
        <f t="shared" si="19"/>
        <v/>
      </c>
      <c r="AA19" s="23">
        <f t="shared" si="19"/>
        <v/>
      </c>
      <c r="AB19" s="23">
        <f t="shared" si="19"/>
        <v/>
      </c>
      <c r="AC19" s="23">
        <f t="shared" si="19"/>
        <v/>
      </c>
      <c r="AD19" s="23">
        <f t="shared" si="19"/>
        <v/>
      </c>
      <c r="AE19" s="23">
        <f t="shared" si="19"/>
        <v/>
      </c>
      <c r="AF19" s="23">
        <f t="shared" si="19"/>
        <v/>
      </c>
      <c r="AG19" s="23">
        <f t="shared" si="19"/>
        <v/>
      </c>
      <c r="AH19" s="23">
        <f t="shared" si="19"/>
        <v/>
      </c>
    </row>
    <row r="20">
      <c r="B20" s="24" t="inlineStr">
        <is>
          <t>申請中を承認した場合の判定</t>
        </is>
      </c>
      <c r="C20" s="5" t="n"/>
      <c r="D20" s="27">
        <f t="shared" ref="D20:AH20" si="20">IF(D$5="","",IF(D$7="休業","－",IF(OR(D19&lt;MIN_ALL,SUMIF($C$8:$C$13,"正社員",D29:D34)&lt;MIN_FT),"要注意","OK")))</f>
        <v/>
      </c>
      <c r="E20" s="27">
        <f t="shared" si="20"/>
        <v/>
      </c>
      <c r="F20" s="27">
        <f t="shared" si="20"/>
        <v/>
      </c>
      <c r="G20" s="27">
        <f t="shared" si="20"/>
        <v/>
      </c>
      <c r="H20" s="27">
        <f t="shared" si="20"/>
        <v/>
      </c>
      <c r="I20" s="27">
        <f t="shared" si="20"/>
        <v/>
      </c>
      <c r="J20" s="27">
        <f t="shared" si="20"/>
        <v/>
      </c>
      <c r="K20" s="27">
        <f t="shared" si="20"/>
        <v/>
      </c>
      <c r="L20" s="27">
        <f t="shared" si="20"/>
        <v/>
      </c>
      <c r="M20" s="27">
        <f t="shared" si="20"/>
        <v/>
      </c>
      <c r="N20" s="27">
        <f t="shared" si="20"/>
        <v/>
      </c>
      <c r="O20" s="27">
        <f t="shared" si="20"/>
        <v/>
      </c>
      <c r="P20" s="27">
        <f t="shared" si="20"/>
        <v/>
      </c>
      <c r="Q20" s="27">
        <f t="shared" si="20"/>
        <v/>
      </c>
      <c r="R20" s="27">
        <f t="shared" si="20"/>
        <v/>
      </c>
      <c r="S20" s="27">
        <f t="shared" si="20"/>
        <v/>
      </c>
      <c r="T20" s="27">
        <f t="shared" si="20"/>
        <v/>
      </c>
      <c r="U20" s="27">
        <f t="shared" si="20"/>
        <v/>
      </c>
      <c r="V20" s="27">
        <f t="shared" si="20"/>
        <v/>
      </c>
      <c r="W20" s="27">
        <f t="shared" si="20"/>
        <v/>
      </c>
      <c r="X20" s="27">
        <f t="shared" si="20"/>
        <v/>
      </c>
      <c r="Y20" s="27">
        <f t="shared" si="20"/>
        <v/>
      </c>
      <c r="Z20" s="27">
        <f t="shared" si="20"/>
        <v/>
      </c>
      <c r="AA20" s="27">
        <f t="shared" si="20"/>
        <v/>
      </c>
      <c r="AB20" s="27">
        <f t="shared" si="20"/>
        <v/>
      </c>
      <c r="AC20" s="27">
        <f t="shared" si="20"/>
        <v/>
      </c>
      <c r="AD20" s="27">
        <f t="shared" si="20"/>
        <v/>
      </c>
      <c r="AE20" s="27">
        <f t="shared" si="20"/>
        <v/>
      </c>
      <c r="AF20" s="27">
        <f t="shared" si="20"/>
        <v/>
      </c>
      <c r="AG20" s="27">
        <f t="shared" si="20"/>
        <v/>
      </c>
      <c r="AH20" s="27">
        <f t="shared" si="20"/>
        <v/>
      </c>
    </row>
    <row r="22">
      <c r="B22" s="28" t="inlineStr">
        <is>
          <t>自動計算エリア（出勤係数。編集不要）</t>
        </is>
      </c>
    </row>
    <row r="23">
      <c r="B23" s="29">
        <f t="shared" ref="B23:B28" si="21">B8</f>
        <v/>
      </c>
      <c r="C23" s="30" t="inlineStr">
        <is>
          <t>承認済</t>
        </is>
      </c>
      <c r="D23" s="31">
        <f t="shared" ref="D23:AH23" si="22">IF(OR($B8="",D$5="",D$7="休業",D8="－"),"",IF(D8="",1,IFERROR(VLOOKUP(D8,SYM_TBL,3,0),1)))</f>
        <v/>
      </c>
      <c r="E23" s="31">
        <f t="shared" si="22"/>
        <v/>
      </c>
      <c r="F23" s="31">
        <f t="shared" si="22"/>
        <v/>
      </c>
      <c r="G23" s="31">
        <f t="shared" si="22"/>
        <v/>
      </c>
      <c r="H23" s="31">
        <f t="shared" si="22"/>
        <v/>
      </c>
      <c r="I23" s="31">
        <f t="shared" si="22"/>
        <v/>
      </c>
      <c r="J23" s="31">
        <f t="shared" si="22"/>
        <v/>
      </c>
      <c r="K23" s="31">
        <f t="shared" si="22"/>
        <v/>
      </c>
      <c r="L23" s="31">
        <f t="shared" si="22"/>
        <v/>
      </c>
      <c r="M23" s="31">
        <f t="shared" si="22"/>
        <v/>
      </c>
      <c r="N23" s="31">
        <f t="shared" si="22"/>
        <v/>
      </c>
      <c r="O23" s="31">
        <f t="shared" si="22"/>
        <v/>
      </c>
      <c r="P23" s="31">
        <f t="shared" si="22"/>
        <v/>
      </c>
      <c r="Q23" s="31">
        <f t="shared" si="22"/>
        <v/>
      </c>
      <c r="R23" s="31">
        <f t="shared" si="22"/>
        <v/>
      </c>
      <c r="S23" s="31">
        <f t="shared" si="22"/>
        <v/>
      </c>
      <c r="T23" s="31">
        <f t="shared" si="22"/>
        <v/>
      </c>
      <c r="U23" s="31">
        <f t="shared" si="22"/>
        <v/>
      </c>
      <c r="V23" s="31">
        <f t="shared" si="22"/>
        <v/>
      </c>
      <c r="W23" s="31">
        <f t="shared" si="22"/>
        <v/>
      </c>
      <c r="X23" s="31">
        <f t="shared" si="22"/>
        <v/>
      </c>
      <c r="Y23" s="31">
        <f t="shared" si="22"/>
        <v/>
      </c>
      <c r="Z23" s="31">
        <f t="shared" si="22"/>
        <v/>
      </c>
      <c r="AA23" s="31">
        <f t="shared" si="22"/>
        <v/>
      </c>
      <c r="AB23" s="31">
        <f t="shared" si="22"/>
        <v/>
      </c>
      <c r="AC23" s="31">
        <f t="shared" si="22"/>
        <v/>
      </c>
      <c r="AD23" s="31">
        <f t="shared" si="22"/>
        <v/>
      </c>
      <c r="AE23" s="31">
        <f t="shared" si="22"/>
        <v/>
      </c>
      <c r="AF23" s="31">
        <f t="shared" si="22"/>
        <v/>
      </c>
      <c r="AG23" s="31">
        <f t="shared" si="22"/>
        <v/>
      </c>
      <c r="AH23" s="31">
        <f t="shared" si="22"/>
        <v/>
      </c>
    </row>
    <row r="24">
      <c r="B24" s="29">
        <f t="shared" si="21"/>
        <v/>
      </c>
      <c r="C24" s="30" t="inlineStr">
        <is>
          <t>承認済</t>
        </is>
      </c>
      <c r="D24" s="31">
        <f t="shared" ref="D24:AH24" si="23">IF(OR($B9="",D$5="",D$7="休業",D9="－"),"",IF(D9="",1,IFERROR(VLOOKUP(D9,SYM_TBL,3,0),1)))</f>
        <v/>
      </c>
      <c r="E24" s="31">
        <f t="shared" si="23"/>
        <v/>
      </c>
      <c r="F24" s="31">
        <f t="shared" si="23"/>
        <v/>
      </c>
      <c r="G24" s="31">
        <f t="shared" si="23"/>
        <v/>
      </c>
      <c r="H24" s="31">
        <f t="shared" si="23"/>
        <v/>
      </c>
      <c r="I24" s="31">
        <f t="shared" si="23"/>
        <v/>
      </c>
      <c r="J24" s="31">
        <f t="shared" si="23"/>
        <v/>
      </c>
      <c r="K24" s="31">
        <f t="shared" si="23"/>
        <v/>
      </c>
      <c r="L24" s="31">
        <f t="shared" si="23"/>
        <v/>
      </c>
      <c r="M24" s="31">
        <f t="shared" si="23"/>
        <v/>
      </c>
      <c r="N24" s="31">
        <f t="shared" si="23"/>
        <v/>
      </c>
      <c r="O24" s="31">
        <f t="shared" si="23"/>
        <v/>
      </c>
      <c r="P24" s="31">
        <f t="shared" si="23"/>
        <v/>
      </c>
      <c r="Q24" s="31">
        <f t="shared" si="23"/>
        <v/>
      </c>
      <c r="R24" s="31">
        <f t="shared" si="23"/>
        <v/>
      </c>
      <c r="S24" s="31">
        <f t="shared" si="23"/>
        <v/>
      </c>
      <c r="T24" s="31">
        <f t="shared" si="23"/>
        <v/>
      </c>
      <c r="U24" s="31">
        <f t="shared" si="23"/>
        <v/>
      </c>
      <c r="V24" s="31">
        <f t="shared" si="23"/>
        <v/>
      </c>
      <c r="W24" s="31">
        <f t="shared" si="23"/>
        <v/>
      </c>
      <c r="X24" s="31">
        <f t="shared" si="23"/>
        <v/>
      </c>
      <c r="Y24" s="31">
        <f t="shared" si="23"/>
        <v/>
      </c>
      <c r="Z24" s="31">
        <f t="shared" si="23"/>
        <v/>
      </c>
      <c r="AA24" s="31">
        <f t="shared" si="23"/>
        <v/>
      </c>
      <c r="AB24" s="31">
        <f t="shared" si="23"/>
        <v/>
      </c>
      <c r="AC24" s="31">
        <f t="shared" si="23"/>
        <v/>
      </c>
      <c r="AD24" s="31">
        <f t="shared" si="23"/>
        <v/>
      </c>
      <c r="AE24" s="31">
        <f t="shared" si="23"/>
        <v/>
      </c>
      <c r="AF24" s="31">
        <f t="shared" si="23"/>
        <v/>
      </c>
      <c r="AG24" s="31">
        <f t="shared" si="23"/>
        <v/>
      </c>
      <c r="AH24" s="31">
        <f t="shared" si="23"/>
        <v/>
      </c>
    </row>
    <row r="25">
      <c r="B25" s="29">
        <f t="shared" si="21"/>
        <v/>
      </c>
      <c r="C25" s="30" t="inlineStr">
        <is>
          <t>承認済</t>
        </is>
      </c>
      <c r="D25" s="31">
        <f t="shared" ref="D25:AH25" si="24">IF(OR($B10="",D$5="",D$7="休業",D10="－"),"",IF(D10="",1,IFERROR(VLOOKUP(D10,SYM_TBL,3,0),1)))</f>
        <v/>
      </c>
      <c r="E25" s="31">
        <f t="shared" si="24"/>
        <v/>
      </c>
      <c r="F25" s="31">
        <f t="shared" si="24"/>
        <v/>
      </c>
      <c r="G25" s="31">
        <f t="shared" si="24"/>
        <v/>
      </c>
      <c r="H25" s="31">
        <f t="shared" si="24"/>
        <v/>
      </c>
      <c r="I25" s="31">
        <f t="shared" si="24"/>
        <v/>
      </c>
      <c r="J25" s="31">
        <f t="shared" si="24"/>
        <v/>
      </c>
      <c r="K25" s="31">
        <f t="shared" si="24"/>
        <v/>
      </c>
      <c r="L25" s="31">
        <f t="shared" si="24"/>
        <v/>
      </c>
      <c r="M25" s="31">
        <f t="shared" si="24"/>
        <v/>
      </c>
      <c r="N25" s="31">
        <f t="shared" si="24"/>
        <v/>
      </c>
      <c r="O25" s="31">
        <f t="shared" si="24"/>
        <v/>
      </c>
      <c r="P25" s="31">
        <f t="shared" si="24"/>
        <v/>
      </c>
      <c r="Q25" s="31">
        <f t="shared" si="24"/>
        <v/>
      </c>
      <c r="R25" s="31">
        <f t="shared" si="24"/>
        <v/>
      </c>
      <c r="S25" s="31">
        <f t="shared" si="24"/>
        <v/>
      </c>
      <c r="T25" s="31">
        <f t="shared" si="24"/>
        <v/>
      </c>
      <c r="U25" s="31">
        <f t="shared" si="24"/>
        <v/>
      </c>
      <c r="V25" s="31">
        <f t="shared" si="24"/>
        <v/>
      </c>
      <c r="W25" s="31">
        <f t="shared" si="24"/>
        <v/>
      </c>
      <c r="X25" s="31">
        <f t="shared" si="24"/>
        <v/>
      </c>
      <c r="Y25" s="31">
        <f t="shared" si="24"/>
        <v/>
      </c>
      <c r="Z25" s="31">
        <f t="shared" si="24"/>
        <v/>
      </c>
      <c r="AA25" s="31">
        <f t="shared" si="24"/>
        <v/>
      </c>
      <c r="AB25" s="31">
        <f t="shared" si="24"/>
        <v/>
      </c>
      <c r="AC25" s="31">
        <f t="shared" si="24"/>
        <v/>
      </c>
      <c r="AD25" s="31">
        <f t="shared" si="24"/>
        <v/>
      </c>
      <c r="AE25" s="31">
        <f t="shared" si="24"/>
        <v/>
      </c>
      <c r="AF25" s="31">
        <f t="shared" si="24"/>
        <v/>
      </c>
      <c r="AG25" s="31">
        <f t="shared" si="24"/>
        <v/>
      </c>
      <c r="AH25" s="31">
        <f t="shared" si="24"/>
        <v/>
      </c>
    </row>
    <row r="26">
      <c r="B26" s="29">
        <f t="shared" si="21"/>
        <v/>
      </c>
      <c r="C26" s="30" t="inlineStr">
        <is>
          <t>承認済</t>
        </is>
      </c>
      <c r="D26" s="31">
        <f t="shared" ref="D26:AH26" si="25">IF(OR($B11="",D$5="",D$7="休業",D11="－"),"",IF(D11="",1,IFERROR(VLOOKUP(D11,SYM_TBL,3,0),1)))</f>
        <v/>
      </c>
      <c r="E26" s="31">
        <f t="shared" si="25"/>
        <v/>
      </c>
      <c r="F26" s="31">
        <f t="shared" si="25"/>
        <v/>
      </c>
      <c r="G26" s="31">
        <f t="shared" si="25"/>
        <v/>
      </c>
      <c r="H26" s="31">
        <f t="shared" si="25"/>
        <v/>
      </c>
      <c r="I26" s="31">
        <f t="shared" si="25"/>
        <v/>
      </c>
      <c r="J26" s="31">
        <f t="shared" si="25"/>
        <v/>
      </c>
      <c r="K26" s="31">
        <f t="shared" si="25"/>
        <v/>
      </c>
      <c r="L26" s="31">
        <f t="shared" si="25"/>
        <v/>
      </c>
      <c r="M26" s="31">
        <f t="shared" si="25"/>
        <v/>
      </c>
      <c r="N26" s="31">
        <f t="shared" si="25"/>
        <v/>
      </c>
      <c r="O26" s="31">
        <f t="shared" si="25"/>
        <v/>
      </c>
      <c r="P26" s="31">
        <f t="shared" si="25"/>
        <v/>
      </c>
      <c r="Q26" s="31">
        <f t="shared" si="25"/>
        <v/>
      </c>
      <c r="R26" s="31">
        <f t="shared" si="25"/>
        <v/>
      </c>
      <c r="S26" s="31">
        <f t="shared" si="25"/>
        <v/>
      </c>
      <c r="T26" s="31">
        <f t="shared" si="25"/>
        <v/>
      </c>
      <c r="U26" s="31">
        <f t="shared" si="25"/>
        <v/>
      </c>
      <c r="V26" s="31">
        <f t="shared" si="25"/>
        <v/>
      </c>
      <c r="W26" s="31">
        <f t="shared" si="25"/>
        <v/>
      </c>
      <c r="X26" s="31">
        <f t="shared" si="25"/>
        <v/>
      </c>
      <c r="Y26" s="31">
        <f t="shared" si="25"/>
        <v/>
      </c>
      <c r="Z26" s="31">
        <f t="shared" si="25"/>
        <v/>
      </c>
      <c r="AA26" s="31">
        <f t="shared" si="25"/>
        <v/>
      </c>
      <c r="AB26" s="31">
        <f t="shared" si="25"/>
        <v/>
      </c>
      <c r="AC26" s="31">
        <f t="shared" si="25"/>
        <v/>
      </c>
      <c r="AD26" s="31">
        <f t="shared" si="25"/>
        <v/>
      </c>
      <c r="AE26" s="31">
        <f t="shared" si="25"/>
        <v/>
      </c>
      <c r="AF26" s="31">
        <f t="shared" si="25"/>
        <v/>
      </c>
      <c r="AG26" s="31">
        <f t="shared" si="25"/>
        <v/>
      </c>
      <c r="AH26" s="31">
        <f t="shared" si="25"/>
        <v/>
      </c>
    </row>
    <row r="27">
      <c r="B27" s="29">
        <f t="shared" si="21"/>
        <v/>
      </c>
      <c r="C27" s="30" t="inlineStr">
        <is>
          <t>承認済</t>
        </is>
      </c>
      <c r="D27" s="31">
        <f t="shared" ref="D27:AH27" si="26">IF(OR($B12="",D$5="",D$7="休業",D12="－"),"",IF(D12="",1,IFERROR(VLOOKUP(D12,SYM_TBL,3,0),1)))</f>
        <v/>
      </c>
      <c r="E27" s="31">
        <f t="shared" si="26"/>
        <v/>
      </c>
      <c r="F27" s="31">
        <f t="shared" si="26"/>
        <v/>
      </c>
      <c r="G27" s="31">
        <f t="shared" si="26"/>
        <v/>
      </c>
      <c r="H27" s="31">
        <f t="shared" si="26"/>
        <v/>
      </c>
      <c r="I27" s="31">
        <f t="shared" si="26"/>
        <v/>
      </c>
      <c r="J27" s="31">
        <f t="shared" si="26"/>
        <v/>
      </c>
      <c r="K27" s="31">
        <f t="shared" si="26"/>
        <v/>
      </c>
      <c r="L27" s="31">
        <f t="shared" si="26"/>
        <v/>
      </c>
      <c r="M27" s="31">
        <f t="shared" si="26"/>
        <v/>
      </c>
      <c r="N27" s="31">
        <f t="shared" si="26"/>
        <v/>
      </c>
      <c r="O27" s="31">
        <f t="shared" si="26"/>
        <v/>
      </c>
      <c r="P27" s="31">
        <f t="shared" si="26"/>
        <v/>
      </c>
      <c r="Q27" s="31">
        <f t="shared" si="26"/>
        <v/>
      </c>
      <c r="R27" s="31">
        <f t="shared" si="26"/>
        <v/>
      </c>
      <c r="S27" s="31">
        <f t="shared" si="26"/>
        <v/>
      </c>
      <c r="T27" s="31">
        <f t="shared" si="26"/>
        <v/>
      </c>
      <c r="U27" s="31">
        <f t="shared" si="26"/>
        <v/>
      </c>
      <c r="V27" s="31">
        <f t="shared" si="26"/>
        <v/>
      </c>
      <c r="W27" s="31">
        <f t="shared" si="26"/>
        <v/>
      </c>
      <c r="X27" s="31">
        <f t="shared" si="26"/>
        <v/>
      </c>
      <c r="Y27" s="31">
        <f t="shared" si="26"/>
        <v/>
      </c>
      <c r="Z27" s="31">
        <f t="shared" si="26"/>
        <v/>
      </c>
      <c r="AA27" s="31">
        <f t="shared" si="26"/>
        <v/>
      </c>
      <c r="AB27" s="31">
        <f t="shared" si="26"/>
        <v/>
      </c>
      <c r="AC27" s="31">
        <f t="shared" si="26"/>
        <v/>
      </c>
      <c r="AD27" s="31">
        <f t="shared" si="26"/>
        <v/>
      </c>
      <c r="AE27" s="31">
        <f t="shared" si="26"/>
        <v/>
      </c>
      <c r="AF27" s="31">
        <f t="shared" si="26"/>
        <v/>
      </c>
      <c r="AG27" s="31">
        <f t="shared" si="26"/>
        <v/>
      </c>
      <c r="AH27" s="31">
        <f t="shared" si="26"/>
        <v/>
      </c>
    </row>
    <row r="28">
      <c r="B28" s="29">
        <f t="shared" si="21"/>
        <v/>
      </c>
      <c r="C28" s="30" t="inlineStr">
        <is>
          <t>承認済</t>
        </is>
      </c>
      <c r="D28" s="31">
        <f t="shared" ref="D28:AH28" si="27">IF(OR($B13="",D$5="",D$7="休業",D13="－"),"",IF(D13="",1,IFERROR(VLOOKUP(D13,SYM_TBL,3,0),1)))</f>
        <v/>
      </c>
      <c r="E28" s="31">
        <f t="shared" si="27"/>
        <v/>
      </c>
      <c r="F28" s="31">
        <f t="shared" si="27"/>
        <v/>
      </c>
      <c r="G28" s="31">
        <f t="shared" si="27"/>
        <v/>
      </c>
      <c r="H28" s="31">
        <f t="shared" si="27"/>
        <v/>
      </c>
      <c r="I28" s="31">
        <f t="shared" si="27"/>
        <v/>
      </c>
      <c r="J28" s="31">
        <f t="shared" si="27"/>
        <v/>
      </c>
      <c r="K28" s="31">
        <f t="shared" si="27"/>
        <v/>
      </c>
      <c r="L28" s="31">
        <f t="shared" si="27"/>
        <v/>
      </c>
      <c r="M28" s="31">
        <f t="shared" si="27"/>
        <v/>
      </c>
      <c r="N28" s="31">
        <f t="shared" si="27"/>
        <v/>
      </c>
      <c r="O28" s="31">
        <f t="shared" si="27"/>
        <v/>
      </c>
      <c r="P28" s="31">
        <f t="shared" si="27"/>
        <v/>
      </c>
      <c r="Q28" s="31">
        <f t="shared" si="27"/>
        <v/>
      </c>
      <c r="R28" s="31">
        <f t="shared" si="27"/>
        <v/>
      </c>
      <c r="S28" s="31">
        <f t="shared" si="27"/>
        <v/>
      </c>
      <c r="T28" s="31">
        <f t="shared" si="27"/>
        <v/>
      </c>
      <c r="U28" s="31">
        <f t="shared" si="27"/>
        <v/>
      </c>
      <c r="V28" s="31">
        <f t="shared" si="27"/>
        <v/>
      </c>
      <c r="W28" s="31">
        <f t="shared" si="27"/>
        <v/>
      </c>
      <c r="X28" s="31">
        <f t="shared" si="27"/>
        <v/>
      </c>
      <c r="Y28" s="31">
        <f t="shared" si="27"/>
        <v/>
      </c>
      <c r="Z28" s="31">
        <f t="shared" si="27"/>
        <v/>
      </c>
      <c r="AA28" s="31">
        <f t="shared" si="27"/>
        <v/>
      </c>
      <c r="AB28" s="31">
        <f t="shared" si="27"/>
        <v/>
      </c>
      <c r="AC28" s="31">
        <f t="shared" si="27"/>
        <v/>
      </c>
      <c r="AD28" s="31">
        <f t="shared" si="27"/>
        <v/>
      </c>
      <c r="AE28" s="31">
        <f t="shared" si="27"/>
        <v/>
      </c>
      <c r="AF28" s="31">
        <f t="shared" si="27"/>
        <v/>
      </c>
      <c r="AG28" s="31">
        <f t="shared" si="27"/>
        <v/>
      </c>
      <c r="AH28" s="31">
        <f t="shared" si="27"/>
        <v/>
      </c>
    </row>
    <row r="29">
      <c r="B29" s="29">
        <f t="shared" ref="B29:B34" si="28">B8</f>
        <v/>
      </c>
      <c r="C29" s="30" t="inlineStr">
        <is>
          <t>申請中込</t>
        </is>
      </c>
      <c r="D29" s="31">
        <f t="shared" ref="D29:AH29" si="29">IF(OR($B8="",D$5="",D$7="休業",D8="－"),"",IF(D8="",1,IFERROR(VLOOKUP(SUBSTITUTE(SUBSTITUTE(D8,"(",""),")",""),SYM_TBL,3,0),1)))</f>
        <v/>
      </c>
      <c r="E29" s="31">
        <f t="shared" si="29"/>
        <v/>
      </c>
      <c r="F29" s="31">
        <f t="shared" si="29"/>
        <v/>
      </c>
      <c r="G29" s="31">
        <f t="shared" si="29"/>
        <v/>
      </c>
      <c r="H29" s="31">
        <f t="shared" si="29"/>
        <v/>
      </c>
      <c r="I29" s="31">
        <f t="shared" si="29"/>
        <v/>
      </c>
      <c r="J29" s="31">
        <f t="shared" si="29"/>
        <v/>
      </c>
      <c r="K29" s="31">
        <f t="shared" si="29"/>
        <v/>
      </c>
      <c r="L29" s="31">
        <f t="shared" si="29"/>
        <v/>
      </c>
      <c r="M29" s="31">
        <f t="shared" si="29"/>
        <v/>
      </c>
      <c r="N29" s="31">
        <f t="shared" si="29"/>
        <v/>
      </c>
      <c r="O29" s="31">
        <f t="shared" si="29"/>
        <v/>
      </c>
      <c r="P29" s="31">
        <f t="shared" si="29"/>
        <v/>
      </c>
      <c r="Q29" s="31">
        <f t="shared" si="29"/>
        <v/>
      </c>
      <c r="R29" s="31">
        <f t="shared" si="29"/>
        <v/>
      </c>
      <c r="S29" s="31">
        <f t="shared" si="29"/>
        <v/>
      </c>
      <c r="T29" s="31">
        <f t="shared" si="29"/>
        <v/>
      </c>
      <c r="U29" s="31">
        <f t="shared" si="29"/>
        <v/>
      </c>
      <c r="V29" s="31">
        <f t="shared" si="29"/>
        <v/>
      </c>
      <c r="W29" s="31">
        <f t="shared" si="29"/>
        <v/>
      </c>
      <c r="X29" s="31">
        <f t="shared" si="29"/>
        <v/>
      </c>
      <c r="Y29" s="31">
        <f t="shared" si="29"/>
        <v/>
      </c>
      <c r="Z29" s="31">
        <f t="shared" si="29"/>
        <v/>
      </c>
      <c r="AA29" s="31">
        <f t="shared" si="29"/>
        <v/>
      </c>
      <c r="AB29" s="31">
        <f t="shared" si="29"/>
        <v/>
      </c>
      <c r="AC29" s="31">
        <f t="shared" si="29"/>
        <v/>
      </c>
      <c r="AD29" s="31">
        <f t="shared" si="29"/>
        <v/>
      </c>
      <c r="AE29" s="31">
        <f t="shared" si="29"/>
        <v/>
      </c>
      <c r="AF29" s="31">
        <f t="shared" si="29"/>
        <v/>
      </c>
      <c r="AG29" s="31">
        <f t="shared" si="29"/>
        <v/>
      </c>
      <c r="AH29" s="31">
        <f t="shared" si="29"/>
        <v/>
      </c>
    </row>
    <row r="30">
      <c r="B30" s="29">
        <f t="shared" si="28"/>
        <v/>
      </c>
      <c r="C30" s="30" t="inlineStr">
        <is>
          <t>申請中込</t>
        </is>
      </c>
      <c r="D30" s="31">
        <f t="shared" ref="D30:AH30" si="30">IF(OR($B9="",D$5="",D$7="休業",D9="－"),"",IF(D9="",1,IFERROR(VLOOKUP(SUBSTITUTE(SUBSTITUTE(D9,"(",""),")",""),SYM_TBL,3,0),1)))</f>
        <v/>
      </c>
      <c r="E30" s="31">
        <f t="shared" si="30"/>
        <v/>
      </c>
      <c r="F30" s="31">
        <f t="shared" si="30"/>
        <v/>
      </c>
      <c r="G30" s="31">
        <f t="shared" si="30"/>
        <v/>
      </c>
      <c r="H30" s="31">
        <f t="shared" si="30"/>
        <v/>
      </c>
      <c r="I30" s="31">
        <f t="shared" si="30"/>
        <v/>
      </c>
      <c r="J30" s="31">
        <f t="shared" si="30"/>
        <v/>
      </c>
      <c r="K30" s="31">
        <f t="shared" si="30"/>
        <v/>
      </c>
      <c r="L30" s="31">
        <f t="shared" si="30"/>
        <v/>
      </c>
      <c r="M30" s="31">
        <f t="shared" si="30"/>
        <v/>
      </c>
      <c r="N30" s="31">
        <f t="shared" si="30"/>
        <v/>
      </c>
      <c r="O30" s="31">
        <f t="shared" si="30"/>
        <v/>
      </c>
      <c r="P30" s="31">
        <f t="shared" si="30"/>
        <v/>
      </c>
      <c r="Q30" s="31">
        <f t="shared" si="30"/>
        <v/>
      </c>
      <c r="R30" s="31">
        <f t="shared" si="30"/>
        <v/>
      </c>
      <c r="S30" s="31">
        <f t="shared" si="30"/>
        <v/>
      </c>
      <c r="T30" s="31">
        <f t="shared" si="30"/>
        <v/>
      </c>
      <c r="U30" s="31">
        <f t="shared" si="30"/>
        <v/>
      </c>
      <c r="V30" s="31">
        <f t="shared" si="30"/>
        <v/>
      </c>
      <c r="W30" s="31">
        <f t="shared" si="30"/>
        <v/>
      </c>
      <c r="X30" s="31">
        <f t="shared" si="30"/>
        <v/>
      </c>
      <c r="Y30" s="31">
        <f t="shared" si="30"/>
        <v/>
      </c>
      <c r="Z30" s="31">
        <f t="shared" si="30"/>
        <v/>
      </c>
      <c r="AA30" s="31">
        <f t="shared" si="30"/>
        <v/>
      </c>
      <c r="AB30" s="31">
        <f t="shared" si="30"/>
        <v/>
      </c>
      <c r="AC30" s="31">
        <f t="shared" si="30"/>
        <v/>
      </c>
      <c r="AD30" s="31">
        <f t="shared" si="30"/>
        <v/>
      </c>
      <c r="AE30" s="31">
        <f t="shared" si="30"/>
        <v/>
      </c>
      <c r="AF30" s="31">
        <f t="shared" si="30"/>
        <v/>
      </c>
      <c r="AG30" s="31">
        <f t="shared" si="30"/>
        <v/>
      </c>
      <c r="AH30" s="31">
        <f t="shared" si="30"/>
        <v/>
      </c>
    </row>
    <row r="31">
      <c r="B31" s="29">
        <f t="shared" si="28"/>
        <v/>
      </c>
      <c r="C31" s="30" t="inlineStr">
        <is>
          <t>申請中込</t>
        </is>
      </c>
      <c r="D31" s="31">
        <f t="shared" ref="D31:AH31" si="31">IF(OR($B10="",D$5="",D$7="休業",D10="－"),"",IF(D10="",1,IFERROR(VLOOKUP(SUBSTITUTE(SUBSTITUTE(D10,"(",""),")",""),SYM_TBL,3,0),1)))</f>
        <v/>
      </c>
      <c r="E31" s="31">
        <f t="shared" si="31"/>
        <v/>
      </c>
      <c r="F31" s="31">
        <f t="shared" si="31"/>
        <v/>
      </c>
      <c r="G31" s="31">
        <f t="shared" si="31"/>
        <v/>
      </c>
      <c r="H31" s="31">
        <f t="shared" si="31"/>
        <v/>
      </c>
      <c r="I31" s="31">
        <f t="shared" si="31"/>
        <v/>
      </c>
      <c r="J31" s="31">
        <f t="shared" si="31"/>
        <v/>
      </c>
      <c r="K31" s="31">
        <f t="shared" si="31"/>
        <v/>
      </c>
      <c r="L31" s="31">
        <f t="shared" si="31"/>
        <v/>
      </c>
      <c r="M31" s="31">
        <f t="shared" si="31"/>
        <v/>
      </c>
      <c r="N31" s="31">
        <f t="shared" si="31"/>
        <v/>
      </c>
      <c r="O31" s="31">
        <f t="shared" si="31"/>
        <v/>
      </c>
      <c r="P31" s="31">
        <f t="shared" si="31"/>
        <v/>
      </c>
      <c r="Q31" s="31">
        <f t="shared" si="31"/>
        <v/>
      </c>
      <c r="R31" s="31">
        <f t="shared" si="31"/>
        <v/>
      </c>
      <c r="S31" s="31">
        <f t="shared" si="31"/>
        <v/>
      </c>
      <c r="T31" s="31">
        <f t="shared" si="31"/>
        <v/>
      </c>
      <c r="U31" s="31">
        <f t="shared" si="31"/>
        <v/>
      </c>
      <c r="V31" s="31">
        <f t="shared" si="31"/>
        <v/>
      </c>
      <c r="W31" s="31">
        <f t="shared" si="31"/>
        <v/>
      </c>
      <c r="X31" s="31">
        <f t="shared" si="31"/>
        <v/>
      </c>
      <c r="Y31" s="31">
        <f t="shared" si="31"/>
        <v/>
      </c>
      <c r="Z31" s="31">
        <f t="shared" si="31"/>
        <v/>
      </c>
      <c r="AA31" s="31">
        <f t="shared" si="31"/>
        <v/>
      </c>
      <c r="AB31" s="31">
        <f t="shared" si="31"/>
        <v/>
      </c>
      <c r="AC31" s="31">
        <f t="shared" si="31"/>
        <v/>
      </c>
      <c r="AD31" s="31">
        <f t="shared" si="31"/>
        <v/>
      </c>
      <c r="AE31" s="31">
        <f t="shared" si="31"/>
        <v/>
      </c>
      <c r="AF31" s="31">
        <f t="shared" si="31"/>
        <v/>
      </c>
      <c r="AG31" s="31">
        <f t="shared" si="31"/>
        <v/>
      </c>
      <c r="AH31" s="31">
        <f t="shared" si="31"/>
        <v/>
      </c>
    </row>
    <row r="32">
      <c r="B32" s="29">
        <f t="shared" si="28"/>
        <v/>
      </c>
      <c r="C32" s="30" t="inlineStr">
        <is>
          <t>申請中込</t>
        </is>
      </c>
      <c r="D32" s="31">
        <f t="shared" ref="D32:AH32" si="32">IF(OR($B11="",D$5="",D$7="休業",D11="－"),"",IF(D11="",1,IFERROR(VLOOKUP(SUBSTITUTE(SUBSTITUTE(D11,"(",""),")",""),SYM_TBL,3,0),1)))</f>
        <v/>
      </c>
      <c r="E32" s="31">
        <f t="shared" si="32"/>
        <v/>
      </c>
      <c r="F32" s="31">
        <f t="shared" si="32"/>
        <v/>
      </c>
      <c r="G32" s="31">
        <f t="shared" si="32"/>
        <v/>
      </c>
      <c r="H32" s="31">
        <f t="shared" si="32"/>
        <v/>
      </c>
      <c r="I32" s="31">
        <f t="shared" si="32"/>
        <v/>
      </c>
      <c r="J32" s="31">
        <f t="shared" si="32"/>
        <v/>
      </c>
      <c r="K32" s="31">
        <f t="shared" si="32"/>
        <v/>
      </c>
      <c r="L32" s="31">
        <f t="shared" si="32"/>
        <v/>
      </c>
      <c r="M32" s="31">
        <f t="shared" si="32"/>
        <v/>
      </c>
      <c r="N32" s="31">
        <f t="shared" si="32"/>
        <v/>
      </c>
      <c r="O32" s="31">
        <f t="shared" si="32"/>
        <v/>
      </c>
      <c r="P32" s="31">
        <f t="shared" si="32"/>
        <v/>
      </c>
      <c r="Q32" s="31">
        <f t="shared" si="32"/>
        <v/>
      </c>
      <c r="R32" s="31">
        <f t="shared" si="32"/>
        <v/>
      </c>
      <c r="S32" s="31">
        <f t="shared" si="32"/>
        <v/>
      </c>
      <c r="T32" s="31">
        <f t="shared" si="32"/>
        <v/>
      </c>
      <c r="U32" s="31">
        <f t="shared" si="32"/>
        <v/>
      </c>
      <c r="V32" s="31">
        <f t="shared" si="32"/>
        <v/>
      </c>
      <c r="W32" s="31">
        <f t="shared" si="32"/>
        <v/>
      </c>
      <c r="X32" s="31">
        <f t="shared" si="32"/>
        <v/>
      </c>
      <c r="Y32" s="31">
        <f t="shared" si="32"/>
        <v/>
      </c>
      <c r="Z32" s="31">
        <f t="shared" si="32"/>
        <v/>
      </c>
      <c r="AA32" s="31">
        <f t="shared" si="32"/>
        <v/>
      </c>
      <c r="AB32" s="31">
        <f t="shared" si="32"/>
        <v/>
      </c>
      <c r="AC32" s="31">
        <f t="shared" si="32"/>
        <v/>
      </c>
      <c r="AD32" s="31">
        <f t="shared" si="32"/>
        <v/>
      </c>
      <c r="AE32" s="31">
        <f t="shared" si="32"/>
        <v/>
      </c>
      <c r="AF32" s="31">
        <f t="shared" si="32"/>
        <v/>
      </c>
      <c r="AG32" s="31">
        <f t="shared" si="32"/>
        <v/>
      </c>
      <c r="AH32" s="31">
        <f t="shared" si="32"/>
        <v/>
      </c>
    </row>
    <row r="33">
      <c r="B33" s="29">
        <f t="shared" si="28"/>
        <v/>
      </c>
      <c r="C33" s="30" t="inlineStr">
        <is>
          <t>申請中込</t>
        </is>
      </c>
      <c r="D33" s="31">
        <f t="shared" ref="D33:AH33" si="33">IF(OR($B12="",D$5="",D$7="休業",D12="－"),"",IF(D12="",1,IFERROR(VLOOKUP(SUBSTITUTE(SUBSTITUTE(D12,"(",""),")",""),SYM_TBL,3,0),1)))</f>
        <v/>
      </c>
      <c r="E33" s="31">
        <f t="shared" si="33"/>
        <v/>
      </c>
      <c r="F33" s="31">
        <f t="shared" si="33"/>
        <v/>
      </c>
      <c r="G33" s="31">
        <f t="shared" si="33"/>
        <v/>
      </c>
      <c r="H33" s="31">
        <f t="shared" si="33"/>
        <v/>
      </c>
      <c r="I33" s="31">
        <f t="shared" si="33"/>
        <v/>
      </c>
      <c r="J33" s="31">
        <f t="shared" si="33"/>
        <v/>
      </c>
      <c r="K33" s="31">
        <f t="shared" si="33"/>
        <v/>
      </c>
      <c r="L33" s="31">
        <f t="shared" si="33"/>
        <v/>
      </c>
      <c r="M33" s="31">
        <f t="shared" si="33"/>
        <v/>
      </c>
      <c r="N33" s="31">
        <f t="shared" si="33"/>
        <v/>
      </c>
      <c r="O33" s="31">
        <f t="shared" si="33"/>
        <v/>
      </c>
      <c r="P33" s="31">
        <f t="shared" si="33"/>
        <v/>
      </c>
      <c r="Q33" s="31">
        <f t="shared" si="33"/>
        <v/>
      </c>
      <c r="R33" s="31">
        <f t="shared" si="33"/>
        <v/>
      </c>
      <c r="S33" s="31">
        <f t="shared" si="33"/>
        <v/>
      </c>
      <c r="T33" s="31">
        <f t="shared" si="33"/>
        <v/>
      </c>
      <c r="U33" s="31">
        <f t="shared" si="33"/>
        <v/>
      </c>
      <c r="V33" s="31">
        <f t="shared" si="33"/>
        <v/>
      </c>
      <c r="W33" s="31">
        <f t="shared" si="33"/>
        <v/>
      </c>
      <c r="X33" s="31">
        <f t="shared" si="33"/>
        <v/>
      </c>
      <c r="Y33" s="31">
        <f t="shared" si="33"/>
        <v/>
      </c>
      <c r="Z33" s="31">
        <f t="shared" si="33"/>
        <v/>
      </c>
      <c r="AA33" s="31">
        <f t="shared" si="33"/>
        <v/>
      </c>
      <c r="AB33" s="31">
        <f t="shared" si="33"/>
        <v/>
      </c>
      <c r="AC33" s="31">
        <f t="shared" si="33"/>
        <v/>
      </c>
      <c r="AD33" s="31">
        <f t="shared" si="33"/>
        <v/>
      </c>
      <c r="AE33" s="31">
        <f t="shared" si="33"/>
        <v/>
      </c>
      <c r="AF33" s="31">
        <f t="shared" si="33"/>
        <v/>
      </c>
      <c r="AG33" s="31">
        <f t="shared" si="33"/>
        <v/>
      </c>
      <c r="AH33" s="31">
        <f t="shared" si="33"/>
        <v/>
      </c>
    </row>
    <row r="34">
      <c r="B34" s="29">
        <f t="shared" si="28"/>
        <v/>
      </c>
      <c r="C34" s="30" t="inlineStr">
        <is>
          <t>申請中込</t>
        </is>
      </c>
      <c r="D34" s="31">
        <f t="shared" ref="D34:AH34" si="34">IF(OR($B13="",D$5="",D$7="休業",D13="－"),"",IF(D13="",1,IFERROR(VLOOKUP(SUBSTITUTE(SUBSTITUTE(D13,"(",""),")",""),SYM_TBL,3,0),1)))</f>
        <v/>
      </c>
      <c r="E34" s="31">
        <f t="shared" si="34"/>
        <v/>
      </c>
      <c r="F34" s="31">
        <f t="shared" si="34"/>
        <v/>
      </c>
      <c r="G34" s="31">
        <f t="shared" si="34"/>
        <v/>
      </c>
      <c r="H34" s="31">
        <f t="shared" si="34"/>
        <v/>
      </c>
      <c r="I34" s="31">
        <f t="shared" si="34"/>
        <v/>
      </c>
      <c r="J34" s="31">
        <f t="shared" si="34"/>
        <v/>
      </c>
      <c r="K34" s="31">
        <f t="shared" si="34"/>
        <v/>
      </c>
      <c r="L34" s="31">
        <f t="shared" si="34"/>
        <v/>
      </c>
      <c r="M34" s="31">
        <f t="shared" si="34"/>
        <v/>
      </c>
      <c r="N34" s="31">
        <f t="shared" si="34"/>
        <v/>
      </c>
      <c r="O34" s="31">
        <f t="shared" si="34"/>
        <v/>
      </c>
      <c r="P34" s="31">
        <f t="shared" si="34"/>
        <v/>
      </c>
      <c r="Q34" s="31">
        <f t="shared" si="34"/>
        <v/>
      </c>
      <c r="R34" s="31">
        <f t="shared" si="34"/>
        <v/>
      </c>
      <c r="S34" s="31">
        <f t="shared" si="34"/>
        <v/>
      </c>
      <c r="T34" s="31">
        <f t="shared" si="34"/>
        <v/>
      </c>
      <c r="U34" s="31">
        <f t="shared" si="34"/>
        <v/>
      </c>
      <c r="V34" s="31">
        <f t="shared" si="34"/>
        <v/>
      </c>
      <c r="W34" s="31">
        <f t="shared" si="34"/>
        <v/>
      </c>
      <c r="X34" s="31">
        <f t="shared" si="34"/>
        <v/>
      </c>
      <c r="Y34" s="31">
        <f t="shared" si="34"/>
        <v/>
      </c>
      <c r="Z34" s="31">
        <f t="shared" si="34"/>
        <v/>
      </c>
      <c r="AA34" s="31">
        <f t="shared" si="34"/>
        <v/>
      </c>
      <c r="AB34" s="31">
        <f t="shared" si="34"/>
        <v/>
      </c>
      <c r="AC34" s="31">
        <f t="shared" si="34"/>
        <v/>
      </c>
      <c r="AD34" s="31">
        <f t="shared" si="34"/>
        <v/>
      </c>
      <c r="AE34" s="31">
        <f t="shared" si="34"/>
        <v/>
      </c>
      <c r="AF34" s="31">
        <f t="shared" si="34"/>
        <v/>
      </c>
      <c r="AG34" s="31">
        <f t="shared" si="34"/>
        <v/>
      </c>
      <c r="AH34" s="31">
        <f t="shared" si="34"/>
        <v/>
      </c>
    </row>
  </sheetData>
  <mergeCells count="16">
    <mergeCell ref="B16:C16"/>
    <mergeCell ref="B22:L22"/>
    <mergeCell ref="B15:C15"/>
    <mergeCell ref="AK5:AK7"/>
    <mergeCell ref="AM5:AM7"/>
    <mergeCell ref="B19:C19"/>
    <mergeCell ref="L3:O3"/>
    <mergeCell ref="B20:C20"/>
    <mergeCell ref="B17:C17"/>
    <mergeCell ref="C5:C7"/>
    <mergeCell ref="AJ5:AJ7"/>
    <mergeCell ref="H3:J3"/>
    <mergeCell ref="B18:C18"/>
    <mergeCell ref="AL5:AL7"/>
    <mergeCell ref="E3:F3"/>
    <mergeCell ref="B5:B7"/>
  </mergeCells>
  <conditionalFormatting sqref="D5:AH20">
    <cfRule type="expression" priority="1" dxfId="0" stopIfTrue="1">
      <formula>D$7="休業"</formula>
    </cfRule>
  </conditionalFormatting>
  <conditionalFormatting sqref="D6:AH6">
    <cfRule type="expression" priority="2" dxfId="1">
      <formula>D6="日"</formula>
    </cfRule>
    <cfRule type="expression" priority="3" dxfId="2">
      <formula>D6="土"</formula>
    </cfRule>
  </conditionalFormatting>
  <conditionalFormatting sqref="D8:AH13">
    <cfRule type="expression" priority="4" dxfId="3" stopIfTrue="1">
      <formula>LEFT(D8,1)="("</formula>
    </cfRule>
    <cfRule type="expression" priority="5" dxfId="4">
      <formula>OR(D8="有",D8="休",D8="特",D8="代",D8="欠")</formula>
    </cfRule>
    <cfRule type="expression" priority="6" dxfId="5">
      <formula>OR(D8="午前",D8="午後")</formula>
    </cfRule>
    <cfRule type="expression" priority="7" dxfId="6">
      <formula>OR(D8="在",D8="外")</formula>
    </cfRule>
    <cfRule type="expression" priority="8" dxfId="7">
      <formula>D8="－"</formula>
    </cfRule>
  </conditionalFormatting>
  <conditionalFormatting sqref="D18:AH18">
    <cfRule type="cellIs" priority="9" operator="equal" dxfId="8">
      <formula>"NG"</formula>
    </cfRule>
    <cfRule type="cellIs" priority="10" operator="equal" dxfId="9">
      <formula>"OK"</formula>
    </cfRule>
  </conditionalFormatting>
  <conditionalFormatting sqref="D20:AH20">
    <cfRule type="cellIs" priority="11" operator="equal" dxfId="10">
      <formula>"要注意"</formula>
    </cfRule>
    <cfRule type="cellIs" priority="12" operator="equal" dxfId="9">
      <formula>"OK"</formula>
    </cfRule>
  </conditionalFormatting>
  <pageMargins left="0.75" right="0.75" top="1" bottom="1" header="0.5" footer="0.5"/>
  <legacyDrawing r:id="anysvml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M2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12" customWidth="1" min="3" max="3"/>
    <col width="11" customWidth="1" min="4" max="4"/>
    <col width="8" customWidth="1" min="5" max="5"/>
    <col width="28" customWidth="1" min="6" max="6"/>
    <col width="9" customWidth="1" min="7" max="7"/>
    <col width="10" customWidth="1" min="8" max="8"/>
    <col width="10" customWidth="1" min="9" max="9"/>
    <col width="9" customWidth="1" min="10" max="10"/>
    <col width="12" customWidth="1" min="11" max="11"/>
    <col width="18" customWidth="1" min="12" max="12"/>
    <col width="18" customWidth="1" min="13" max="13"/>
  </cols>
  <sheetData>
    <row r="1">
      <c r="B1" s="1" t="inlineStr">
        <is>
          <t>休暇申請（ここだけ入力する）</t>
        </is>
      </c>
    </row>
    <row r="2">
      <c r="B2" s="2" t="inlineStr">
        <is>
          <t>1休暇につき1行。連休は日ごとに1行。状態を「承認」にするとシフト表・有給管理に反映される。</t>
        </is>
      </c>
    </row>
    <row r="3">
      <c r="B3" s="2" t="inlineStr">
        <is>
          <t>黄色 = 入力      灰色 = 自動（触らない）</t>
        </is>
      </c>
    </row>
    <row r="4" ht="30" customHeight="1">
      <c r="B4" s="13" t="inlineStr">
        <is>
          <t>申請日</t>
        </is>
      </c>
      <c r="C4" s="13" t="inlineStr">
        <is>
          <t>氏名</t>
        </is>
      </c>
      <c r="D4" s="13" t="inlineStr">
        <is>
          <t>休暇日</t>
        </is>
      </c>
      <c r="E4" s="13" t="inlineStr">
        <is>
          <t>種別</t>
        </is>
      </c>
      <c r="F4" s="13" t="inlineStr">
        <is>
          <t>理由・備考</t>
        </is>
      </c>
      <c r="G4" s="13" t="inlineStr">
        <is>
          <t>状態</t>
        </is>
      </c>
      <c r="H4" s="13" t="inlineStr">
        <is>
          <t>承認者</t>
        </is>
      </c>
      <c r="I4" s="13" t="inlineStr">
        <is>
          <t>同日の他の休み</t>
        </is>
      </c>
      <c r="J4" s="13" t="inlineStr">
        <is>
          <t>出勤見込み</t>
        </is>
      </c>
      <c r="K4" s="13" t="inlineStr">
        <is>
          <t>判定</t>
        </is>
      </c>
      <c r="L4" s="13" t="inlineStr">
        <is>
          <t>キー(承認)</t>
        </is>
      </c>
      <c r="M4" s="13" t="inlineStr">
        <is>
          <t>キー(申請中)</t>
        </is>
      </c>
    </row>
    <row r="5">
      <c r="B5" s="32" t="n">
        <v>46266</v>
      </c>
      <c r="C5" s="33" t="inlineStr">
        <is>
          <t>正社員A</t>
        </is>
      </c>
      <c r="D5" s="32" t="n">
        <v>46275</v>
      </c>
      <c r="E5" s="34" t="inlineStr">
        <is>
          <t>有</t>
        </is>
      </c>
      <c r="F5" s="33" t="inlineStr">
        <is>
          <t>私用</t>
        </is>
      </c>
      <c r="G5" s="34" t="inlineStr">
        <is>
          <t>承認</t>
        </is>
      </c>
      <c r="H5" s="33" t="inlineStr">
        <is>
          <t>正社員B</t>
        </is>
      </c>
      <c r="I5" s="22">
        <f t="shared" ref="I5:I204" si="0">IF(D5="","",COUNTIFS(LOG_DATE,D5,LOG_STATE,"承認")+COUNTIFS(LOG_DATE,D5,LOG_STATE,"申請中")-IF(G5="却下",0,1))</f>
        <v/>
      </c>
      <c r="J5" s="22">
        <f t="shared" ref="J5:J204" si="1">IF(D5="","",IFERROR(SUMPRODUCT((INDEX(STAFF_DAYS,0,WEEKDAY(D5,2))="○")*1)-I5-IF(G5="却下",0,1),"日付を確認"))</f>
        <v/>
      </c>
      <c r="K5" s="27">
        <f t="shared" ref="K5:K204" si="2">IF(D5="","",IFERROR(IF(OR(INDEX(BIZ_DAYS,WEEKDAY(D5,2))="×",COUNTIF(HOLIDAYS,D5)&gt;0),"休業日",IF(J5&lt;MIN_ALL,"要確認","OK")),"日付を確認"))</f>
        <v/>
      </c>
      <c r="L5" s="29">
        <f t="shared" ref="L5:L204" si="3">IF(AND(G5="承認",C5&lt;&gt;"",D5&lt;&gt;""),C5&amp;"|"&amp;TEXT(D5,"yyyymmdd"),"")</f>
        <v/>
      </c>
      <c r="M5" s="29">
        <f t="shared" ref="M5:M204" si="4">IF(AND(G5="申請中",C5&lt;&gt;"",D5&lt;&gt;""),C5&amp;"|"&amp;TEXT(D5,"yyyymmdd"),"")</f>
        <v/>
      </c>
    </row>
    <row r="6">
      <c r="B6" s="32" t="n">
        <v>46267</v>
      </c>
      <c r="C6" s="33" t="inlineStr">
        <is>
          <t>派遣A</t>
        </is>
      </c>
      <c r="D6" s="32" t="n">
        <v>46275</v>
      </c>
      <c r="E6" s="34" t="inlineStr">
        <is>
          <t>有</t>
        </is>
      </c>
      <c r="F6" s="33" t="inlineStr">
        <is>
          <t>通院</t>
        </is>
      </c>
      <c r="G6" s="34" t="inlineStr">
        <is>
          <t>申請中</t>
        </is>
      </c>
      <c r="H6" s="33" t="inlineStr"/>
      <c r="I6" s="22">
        <f t="shared" si="0"/>
        <v/>
      </c>
      <c r="J6" s="22">
        <f t="shared" si="1"/>
        <v/>
      </c>
      <c r="K6" s="27">
        <f t="shared" si="2"/>
        <v/>
      </c>
      <c r="L6" s="29">
        <f t="shared" si="3"/>
        <v/>
      </c>
      <c r="M6" s="29">
        <f t="shared" si="4"/>
        <v/>
      </c>
    </row>
    <row r="7">
      <c r="B7" s="32" t="n">
        <v>46267</v>
      </c>
      <c r="C7" s="33" t="inlineStr">
        <is>
          <t>正社員B</t>
        </is>
      </c>
      <c r="D7" s="32" t="n">
        <v>46280</v>
      </c>
      <c r="E7" s="34" t="inlineStr">
        <is>
          <t>午前</t>
        </is>
      </c>
      <c r="F7" s="33" t="inlineStr">
        <is>
          <t>役所手続き</t>
        </is>
      </c>
      <c r="G7" s="34" t="inlineStr">
        <is>
          <t>承認</t>
        </is>
      </c>
      <c r="H7" s="33" t="inlineStr">
        <is>
          <t>正社員A</t>
        </is>
      </c>
      <c r="I7" s="22">
        <f t="shared" si="0"/>
        <v/>
      </c>
      <c r="J7" s="22">
        <f t="shared" si="1"/>
        <v/>
      </c>
      <c r="K7" s="27">
        <f t="shared" si="2"/>
        <v/>
      </c>
      <c r="L7" s="29">
        <f t="shared" si="3"/>
        <v/>
      </c>
      <c r="M7" s="29">
        <f t="shared" si="4"/>
        <v/>
      </c>
    </row>
    <row r="8">
      <c r="B8" s="32" t="n">
        <v>46267</v>
      </c>
      <c r="C8" s="33" t="inlineStr">
        <is>
          <t>派遣B</t>
        </is>
      </c>
      <c r="D8" s="32" t="n">
        <v>46275</v>
      </c>
      <c r="E8" s="34" t="inlineStr">
        <is>
          <t>休</t>
        </is>
      </c>
      <c r="F8" s="33" t="inlineStr">
        <is>
          <t>私用（希望休）</t>
        </is>
      </c>
      <c r="G8" s="34" t="inlineStr">
        <is>
          <t>申請中</t>
        </is>
      </c>
      <c r="H8" s="33" t="inlineStr"/>
      <c r="I8" s="22">
        <f t="shared" si="0"/>
        <v/>
      </c>
      <c r="J8" s="22">
        <f t="shared" si="1"/>
        <v/>
      </c>
      <c r="K8" s="27">
        <f t="shared" si="2"/>
        <v/>
      </c>
      <c r="L8" s="29">
        <f t="shared" si="3"/>
        <v/>
      </c>
      <c r="M8" s="29">
        <f t="shared" si="4"/>
        <v/>
      </c>
    </row>
    <row r="9">
      <c r="B9" s="32" t="n"/>
      <c r="C9" s="33" t="n"/>
      <c r="D9" s="32" t="n"/>
      <c r="E9" s="34" t="n"/>
      <c r="F9" s="33" t="n"/>
      <c r="G9" s="34" t="n"/>
      <c r="H9" s="33" t="n"/>
      <c r="I9" s="22">
        <f t="shared" si="0"/>
        <v/>
      </c>
      <c r="J9" s="22">
        <f t="shared" si="1"/>
        <v/>
      </c>
      <c r="K9" s="27">
        <f t="shared" si="2"/>
        <v/>
      </c>
      <c r="L9" s="29">
        <f t="shared" si="3"/>
        <v/>
      </c>
      <c r="M9" s="29">
        <f t="shared" si="4"/>
        <v/>
      </c>
    </row>
    <row r="10">
      <c r="B10" s="32" t="n"/>
      <c r="C10" s="33" t="n"/>
      <c r="D10" s="32" t="n"/>
      <c r="E10" s="34" t="n"/>
      <c r="F10" s="33" t="n"/>
      <c r="G10" s="34" t="n"/>
      <c r="H10" s="33" t="n"/>
      <c r="I10" s="22">
        <f t="shared" si="0"/>
        <v/>
      </c>
      <c r="J10" s="22">
        <f t="shared" si="1"/>
        <v/>
      </c>
      <c r="K10" s="27">
        <f t="shared" si="2"/>
        <v/>
      </c>
      <c r="L10" s="29">
        <f t="shared" si="3"/>
        <v/>
      </c>
      <c r="M10" s="29">
        <f t="shared" si="4"/>
        <v/>
      </c>
    </row>
    <row r="11">
      <c r="B11" s="32" t="n"/>
      <c r="C11" s="33" t="n"/>
      <c r="D11" s="32" t="n"/>
      <c r="E11" s="34" t="n"/>
      <c r="F11" s="33" t="n"/>
      <c r="G11" s="34" t="n"/>
      <c r="H11" s="33" t="n"/>
      <c r="I11" s="22">
        <f t="shared" si="0"/>
        <v/>
      </c>
      <c r="J11" s="22">
        <f t="shared" si="1"/>
        <v/>
      </c>
      <c r="K11" s="27">
        <f t="shared" si="2"/>
        <v/>
      </c>
      <c r="L11" s="29">
        <f t="shared" si="3"/>
        <v/>
      </c>
      <c r="M11" s="29">
        <f t="shared" si="4"/>
        <v/>
      </c>
    </row>
    <row r="12">
      <c r="B12" s="32" t="n"/>
      <c r="C12" s="33" t="n"/>
      <c r="D12" s="32" t="n"/>
      <c r="E12" s="34" t="n"/>
      <c r="F12" s="33" t="n"/>
      <c r="G12" s="34" t="n"/>
      <c r="H12" s="33" t="n"/>
      <c r="I12" s="22">
        <f t="shared" si="0"/>
        <v/>
      </c>
      <c r="J12" s="22">
        <f t="shared" si="1"/>
        <v/>
      </c>
      <c r="K12" s="27">
        <f t="shared" si="2"/>
        <v/>
      </c>
      <c r="L12" s="29">
        <f t="shared" si="3"/>
        <v/>
      </c>
      <c r="M12" s="29">
        <f t="shared" si="4"/>
        <v/>
      </c>
    </row>
    <row r="13">
      <c r="B13" s="32" t="n"/>
      <c r="C13" s="33" t="n"/>
      <c r="D13" s="32" t="n"/>
      <c r="E13" s="34" t="n"/>
      <c r="F13" s="33" t="n"/>
      <c r="G13" s="34" t="n"/>
      <c r="H13" s="33" t="n"/>
      <c r="I13" s="22">
        <f t="shared" si="0"/>
        <v/>
      </c>
      <c r="J13" s="22">
        <f t="shared" si="1"/>
        <v/>
      </c>
      <c r="K13" s="27">
        <f t="shared" si="2"/>
        <v/>
      </c>
      <c r="L13" s="29">
        <f t="shared" si="3"/>
        <v/>
      </c>
      <c r="M13" s="29">
        <f t="shared" si="4"/>
        <v/>
      </c>
    </row>
    <row r="14">
      <c r="B14" s="32" t="n"/>
      <c r="C14" s="33" t="n"/>
      <c r="D14" s="32" t="n"/>
      <c r="E14" s="34" t="n"/>
      <c r="F14" s="33" t="n"/>
      <c r="G14" s="34" t="n"/>
      <c r="H14" s="33" t="n"/>
      <c r="I14" s="22">
        <f t="shared" si="0"/>
        <v/>
      </c>
      <c r="J14" s="22">
        <f t="shared" si="1"/>
        <v/>
      </c>
      <c r="K14" s="27">
        <f t="shared" si="2"/>
        <v/>
      </c>
      <c r="L14" s="29">
        <f t="shared" si="3"/>
        <v/>
      </c>
      <c r="M14" s="29">
        <f t="shared" si="4"/>
        <v/>
      </c>
    </row>
    <row r="15">
      <c r="B15" s="32" t="n"/>
      <c r="C15" s="33" t="n"/>
      <c r="D15" s="32" t="n"/>
      <c r="E15" s="34" t="n"/>
      <c r="F15" s="33" t="n"/>
      <c r="G15" s="34" t="n"/>
      <c r="H15" s="33" t="n"/>
      <c r="I15" s="22">
        <f t="shared" si="0"/>
        <v/>
      </c>
      <c r="J15" s="22">
        <f t="shared" si="1"/>
        <v/>
      </c>
      <c r="K15" s="27">
        <f t="shared" si="2"/>
        <v/>
      </c>
      <c r="L15" s="29">
        <f t="shared" si="3"/>
        <v/>
      </c>
      <c r="M15" s="29">
        <f t="shared" si="4"/>
        <v/>
      </c>
    </row>
    <row r="16">
      <c r="B16" s="32" t="n"/>
      <c r="C16" s="33" t="n"/>
      <c r="D16" s="32" t="n"/>
      <c r="E16" s="34" t="n"/>
      <c r="F16" s="33" t="n"/>
      <c r="G16" s="34" t="n"/>
      <c r="H16" s="33" t="n"/>
      <c r="I16" s="22">
        <f t="shared" si="0"/>
        <v/>
      </c>
      <c r="J16" s="22">
        <f t="shared" si="1"/>
        <v/>
      </c>
      <c r="K16" s="27">
        <f t="shared" si="2"/>
        <v/>
      </c>
      <c r="L16" s="29">
        <f t="shared" si="3"/>
        <v/>
      </c>
      <c r="M16" s="29">
        <f t="shared" si="4"/>
        <v/>
      </c>
    </row>
    <row r="17">
      <c r="B17" s="32" t="n"/>
      <c r="C17" s="33" t="n"/>
      <c r="D17" s="32" t="n"/>
      <c r="E17" s="34" t="n"/>
      <c r="F17" s="33" t="n"/>
      <c r="G17" s="34" t="n"/>
      <c r="H17" s="33" t="n"/>
      <c r="I17" s="22">
        <f t="shared" si="0"/>
        <v/>
      </c>
      <c r="J17" s="22">
        <f t="shared" si="1"/>
        <v/>
      </c>
      <c r="K17" s="27">
        <f t="shared" si="2"/>
        <v/>
      </c>
      <c r="L17" s="29">
        <f t="shared" si="3"/>
        <v/>
      </c>
      <c r="M17" s="29">
        <f t="shared" si="4"/>
        <v/>
      </c>
    </row>
    <row r="18">
      <c r="B18" s="32" t="n"/>
      <c r="C18" s="33" t="n"/>
      <c r="D18" s="32" t="n"/>
      <c r="E18" s="34" t="n"/>
      <c r="F18" s="33" t="n"/>
      <c r="G18" s="34" t="n"/>
      <c r="H18" s="33" t="n"/>
      <c r="I18" s="22">
        <f t="shared" si="0"/>
        <v/>
      </c>
      <c r="J18" s="22">
        <f t="shared" si="1"/>
        <v/>
      </c>
      <c r="K18" s="27">
        <f t="shared" si="2"/>
        <v/>
      </c>
      <c r="L18" s="29">
        <f t="shared" si="3"/>
        <v/>
      </c>
      <c r="M18" s="29">
        <f t="shared" si="4"/>
        <v/>
      </c>
    </row>
    <row r="19">
      <c r="B19" s="32" t="n"/>
      <c r="C19" s="33" t="n"/>
      <c r="D19" s="32" t="n"/>
      <c r="E19" s="34" t="n"/>
      <c r="F19" s="33" t="n"/>
      <c r="G19" s="34" t="n"/>
      <c r="H19" s="33" t="n"/>
      <c r="I19" s="22">
        <f t="shared" si="0"/>
        <v/>
      </c>
      <c r="J19" s="22">
        <f t="shared" si="1"/>
        <v/>
      </c>
      <c r="K19" s="27">
        <f t="shared" si="2"/>
        <v/>
      </c>
      <c r="L19" s="29">
        <f t="shared" si="3"/>
        <v/>
      </c>
      <c r="M19" s="29">
        <f t="shared" si="4"/>
        <v/>
      </c>
    </row>
    <row r="20">
      <c r="B20" s="32" t="n"/>
      <c r="C20" s="33" t="n"/>
      <c r="D20" s="32" t="n"/>
      <c r="E20" s="34" t="n"/>
      <c r="F20" s="33" t="n"/>
      <c r="G20" s="34" t="n"/>
      <c r="H20" s="33" t="n"/>
      <c r="I20" s="22">
        <f t="shared" si="0"/>
        <v/>
      </c>
      <c r="J20" s="22">
        <f t="shared" si="1"/>
        <v/>
      </c>
      <c r="K20" s="27">
        <f t="shared" si="2"/>
        <v/>
      </c>
      <c r="L20" s="29">
        <f t="shared" si="3"/>
        <v/>
      </c>
      <c r="M20" s="29">
        <f t="shared" si="4"/>
        <v/>
      </c>
    </row>
    <row r="21">
      <c r="B21" s="32" t="n"/>
      <c r="C21" s="33" t="n"/>
      <c r="D21" s="32" t="n"/>
      <c r="E21" s="34" t="n"/>
      <c r="F21" s="33" t="n"/>
      <c r="G21" s="34" t="n"/>
      <c r="H21" s="33" t="n"/>
      <c r="I21" s="22">
        <f t="shared" si="0"/>
        <v/>
      </c>
      <c r="J21" s="22">
        <f t="shared" si="1"/>
        <v/>
      </c>
      <c r="K21" s="27">
        <f t="shared" si="2"/>
        <v/>
      </c>
      <c r="L21" s="29">
        <f t="shared" si="3"/>
        <v/>
      </c>
      <c r="M21" s="29">
        <f t="shared" si="4"/>
        <v/>
      </c>
    </row>
    <row r="22">
      <c r="B22" s="32" t="n"/>
      <c r="C22" s="33" t="n"/>
      <c r="D22" s="32" t="n"/>
      <c r="E22" s="34" t="n"/>
      <c r="F22" s="33" t="n"/>
      <c r="G22" s="34" t="n"/>
      <c r="H22" s="33" t="n"/>
      <c r="I22" s="22">
        <f t="shared" si="0"/>
        <v/>
      </c>
      <c r="J22" s="22">
        <f t="shared" si="1"/>
        <v/>
      </c>
      <c r="K22" s="27">
        <f t="shared" si="2"/>
        <v/>
      </c>
      <c r="L22" s="29">
        <f t="shared" si="3"/>
        <v/>
      </c>
      <c r="M22" s="29">
        <f t="shared" si="4"/>
        <v/>
      </c>
    </row>
    <row r="23">
      <c r="B23" s="32" t="n"/>
      <c r="C23" s="33" t="n"/>
      <c r="D23" s="32" t="n"/>
      <c r="E23" s="34" t="n"/>
      <c r="F23" s="33" t="n"/>
      <c r="G23" s="34" t="n"/>
      <c r="H23" s="33" t="n"/>
      <c r="I23" s="22">
        <f t="shared" si="0"/>
        <v/>
      </c>
      <c r="J23" s="22">
        <f t="shared" si="1"/>
        <v/>
      </c>
      <c r="K23" s="27">
        <f t="shared" si="2"/>
        <v/>
      </c>
      <c r="L23" s="29">
        <f t="shared" si="3"/>
        <v/>
      </c>
      <c r="M23" s="29">
        <f t="shared" si="4"/>
        <v/>
      </c>
    </row>
    <row r="24">
      <c r="B24" s="32" t="n"/>
      <c r="C24" s="33" t="n"/>
      <c r="D24" s="32" t="n"/>
      <c r="E24" s="34" t="n"/>
      <c r="F24" s="33" t="n"/>
      <c r="G24" s="34" t="n"/>
      <c r="H24" s="33" t="n"/>
      <c r="I24" s="22">
        <f t="shared" si="0"/>
        <v/>
      </c>
      <c r="J24" s="22">
        <f t="shared" si="1"/>
        <v/>
      </c>
      <c r="K24" s="27">
        <f t="shared" si="2"/>
        <v/>
      </c>
      <c r="L24" s="29">
        <f t="shared" si="3"/>
        <v/>
      </c>
      <c r="M24" s="29">
        <f t="shared" si="4"/>
        <v/>
      </c>
    </row>
    <row r="25">
      <c r="B25" s="32" t="n"/>
      <c r="C25" s="33" t="n"/>
      <c r="D25" s="32" t="n"/>
      <c r="E25" s="34" t="n"/>
      <c r="F25" s="33" t="n"/>
      <c r="G25" s="34" t="n"/>
      <c r="H25" s="33" t="n"/>
      <c r="I25" s="22">
        <f t="shared" si="0"/>
        <v/>
      </c>
      <c r="J25" s="22">
        <f t="shared" si="1"/>
        <v/>
      </c>
      <c r="K25" s="27">
        <f t="shared" si="2"/>
        <v/>
      </c>
      <c r="L25" s="29">
        <f t="shared" si="3"/>
        <v/>
      </c>
      <c r="M25" s="29">
        <f t="shared" si="4"/>
        <v/>
      </c>
    </row>
    <row r="26">
      <c r="B26" s="32" t="n"/>
      <c r="C26" s="33" t="n"/>
      <c r="D26" s="32" t="n"/>
      <c r="E26" s="34" t="n"/>
      <c r="F26" s="33" t="n"/>
      <c r="G26" s="34" t="n"/>
      <c r="H26" s="33" t="n"/>
      <c r="I26" s="22">
        <f t="shared" si="0"/>
        <v/>
      </c>
      <c r="J26" s="22">
        <f t="shared" si="1"/>
        <v/>
      </c>
      <c r="K26" s="27">
        <f t="shared" si="2"/>
        <v/>
      </c>
      <c r="L26" s="29">
        <f t="shared" si="3"/>
        <v/>
      </c>
      <c r="M26" s="29">
        <f t="shared" si="4"/>
        <v/>
      </c>
    </row>
    <row r="27">
      <c r="B27" s="32" t="n"/>
      <c r="C27" s="33" t="n"/>
      <c r="D27" s="32" t="n"/>
      <c r="E27" s="34" t="n"/>
      <c r="F27" s="33" t="n"/>
      <c r="G27" s="34" t="n"/>
      <c r="H27" s="33" t="n"/>
      <c r="I27" s="22">
        <f t="shared" si="0"/>
        <v/>
      </c>
      <c r="J27" s="22">
        <f t="shared" si="1"/>
        <v/>
      </c>
      <c r="K27" s="27">
        <f t="shared" si="2"/>
        <v/>
      </c>
      <c r="L27" s="29">
        <f t="shared" si="3"/>
        <v/>
      </c>
      <c r="M27" s="29">
        <f t="shared" si="4"/>
        <v/>
      </c>
    </row>
    <row r="28">
      <c r="B28" s="32" t="n"/>
      <c r="C28" s="33" t="n"/>
      <c r="D28" s="32" t="n"/>
      <c r="E28" s="34" t="n"/>
      <c r="F28" s="33" t="n"/>
      <c r="G28" s="34" t="n"/>
      <c r="H28" s="33" t="n"/>
      <c r="I28" s="22">
        <f t="shared" si="0"/>
        <v/>
      </c>
      <c r="J28" s="22">
        <f t="shared" si="1"/>
        <v/>
      </c>
      <c r="K28" s="27">
        <f t="shared" si="2"/>
        <v/>
      </c>
      <c r="L28" s="29">
        <f t="shared" si="3"/>
        <v/>
      </c>
      <c r="M28" s="29">
        <f t="shared" si="4"/>
        <v/>
      </c>
    </row>
    <row r="29">
      <c r="B29" s="32" t="n"/>
      <c r="C29" s="33" t="n"/>
      <c r="D29" s="32" t="n"/>
      <c r="E29" s="34" t="n"/>
      <c r="F29" s="33" t="n"/>
      <c r="G29" s="34" t="n"/>
      <c r="H29" s="33" t="n"/>
      <c r="I29" s="22">
        <f t="shared" si="0"/>
        <v/>
      </c>
      <c r="J29" s="22">
        <f t="shared" si="1"/>
        <v/>
      </c>
      <c r="K29" s="27">
        <f t="shared" si="2"/>
        <v/>
      </c>
      <c r="L29" s="29">
        <f t="shared" si="3"/>
        <v/>
      </c>
      <c r="M29" s="29">
        <f t="shared" si="4"/>
        <v/>
      </c>
    </row>
    <row r="30">
      <c r="B30" s="32" t="n"/>
      <c r="C30" s="33" t="n"/>
      <c r="D30" s="32" t="n"/>
      <c r="E30" s="34" t="n"/>
      <c r="F30" s="33" t="n"/>
      <c r="G30" s="34" t="n"/>
      <c r="H30" s="33" t="n"/>
      <c r="I30" s="22">
        <f t="shared" si="0"/>
        <v/>
      </c>
      <c r="J30" s="22">
        <f t="shared" si="1"/>
        <v/>
      </c>
      <c r="K30" s="27">
        <f t="shared" si="2"/>
        <v/>
      </c>
      <c r="L30" s="29">
        <f t="shared" si="3"/>
        <v/>
      </c>
      <c r="M30" s="29">
        <f t="shared" si="4"/>
        <v/>
      </c>
    </row>
    <row r="31">
      <c r="B31" s="32" t="n"/>
      <c r="C31" s="33" t="n"/>
      <c r="D31" s="32" t="n"/>
      <c r="E31" s="34" t="n"/>
      <c r="F31" s="33" t="n"/>
      <c r="G31" s="34" t="n"/>
      <c r="H31" s="33" t="n"/>
      <c r="I31" s="22">
        <f t="shared" si="0"/>
        <v/>
      </c>
      <c r="J31" s="22">
        <f t="shared" si="1"/>
        <v/>
      </c>
      <c r="K31" s="27">
        <f t="shared" si="2"/>
        <v/>
      </c>
      <c r="L31" s="29">
        <f t="shared" si="3"/>
        <v/>
      </c>
      <c r="M31" s="29">
        <f t="shared" si="4"/>
        <v/>
      </c>
    </row>
    <row r="32">
      <c r="B32" s="32" t="n"/>
      <c r="C32" s="33" t="n"/>
      <c r="D32" s="32" t="n"/>
      <c r="E32" s="34" t="n"/>
      <c r="F32" s="33" t="n"/>
      <c r="G32" s="34" t="n"/>
      <c r="H32" s="33" t="n"/>
      <c r="I32" s="22">
        <f t="shared" si="0"/>
        <v/>
      </c>
      <c r="J32" s="22">
        <f t="shared" si="1"/>
        <v/>
      </c>
      <c r="K32" s="27">
        <f t="shared" si="2"/>
        <v/>
      </c>
      <c r="L32" s="29">
        <f t="shared" si="3"/>
        <v/>
      </c>
      <c r="M32" s="29">
        <f t="shared" si="4"/>
        <v/>
      </c>
    </row>
    <row r="33">
      <c r="B33" s="32" t="n"/>
      <c r="C33" s="33" t="n"/>
      <c r="D33" s="32" t="n"/>
      <c r="E33" s="34" t="n"/>
      <c r="F33" s="33" t="n"/>
      <c r="G33" s="34" t="n"/>
      <c r="H33" s="33" t="n"/>
      <c r="I33" s="22">
        <f t="shared" si="0"/>
        <v/>
      </c>
      <c r="J33" s="22">
        <f t="shared" si="1"/>
        <v/>
      </c>
      <c r="K33" s="27">
        <f t="shared" si="2"/>
        <v/>
      </c>
      <c r="L33" s="29">
        <f t="shared" si="3"/>
        <v/>
      </c>
      <c r="M33" s="29">
        <f t="shared" si="4"/>
        <v/>
      </c>
    </row>
    <row r="34">
      <c r="B34" s="32" t="n"/>
      <c r="C34" s="33" t="n"/>
      <c r="D34" s="32" t="n"/>
      <c r="E34" s="34" t="n"/>
      <c r="F34" s="33" t="n"/>
      <c r="G34" s="34" t="n"/>
      <c r="H34" s="33" t="n"/>
      <c r="I34" s="22">
        <f t="shared" si="0"/>
        <v/>
      </c>
      <c r="J34" s="22">
        <f t="shared" si="1"/>
        <v/>
      </c>
      <c r="K34" s="27">
        <f t="shared" si="2"/>
        <v/>
      </c>
      <c r="L34" s="29">
        <f t="shared" si="3"/>
        <v/>
      </c>
      <c r="M34" s="29">
        <f t="shared" si="4"/>
        <v/>
      </c>
    </row>
    <row r="35">
      <c r="B35" s="32" t="n"/>
      <c r="C35" s="33" t="n"/>
      <c r="D35" s="32" t="n"/>
      <c r="E35" s="34" t="n"/>
      <c r="F35" s="33" t="n"/>
      <c r="G35" s="34" t="n"/>
      <c r="H35" s="33" t="n"/>
      <c r="I35" s="22">
        <f t="shared" si="0"/>
        <v/>
      </c>
      <c r="J35" s="22">
        <f t="shared" si="1"/>
        <v/>
      </c>
      <c r="K35" s="27">
        <f t="shared" si="2"/>
        <v/>
      </c>
      <c r="L35" s="29">
        <f t="shared" si="3"/>
        <v/>
      </c>
      <c r="M35" s="29">
        <f t="shared" si="4"/>
        <v/>
      </c>
    </row>
    <row r="36">
      <c r="B36" s="32" t="n"/>
      <c r="C36" s="33" t="n"/>
      <c r="D36" s="32" t="n"/>
      <c r="E36" s="34" t="n"/>
      <c r="F36" s="33" t="n"/>
      <c r="G36" s="34" t="n"/>
      <c r="H36" s="33" t="n"/>
      <c r="I36" s="22">
        <f t="shared" si="0"/>
        <v/>
      </c>
      <c r="J36" s="22">
        <f t="shared" si="1"/>
        <v/>
      </c>
      <c r="K36" s="27">
        <f t="shared" si="2"/>
        <v/>
      </c>
      <c r="L36" s="29">
        <f t="shared" si="3"/>
        <v/>
      </c>
      <c r="M36" s="29">
        <f t="shared" si="4"/>
        <v/>
      </c>
    </row>
    <row r="37">
      <c r="B37" s="32" t="n"/>
      <c r="C37" s="33" t="n"/>
      <c r="D37" s="32" t="n"/>
      <c r="E37" s="34" t="n"/>
      <c r="F37" s="33" t="n"/>
      <c r="G37" s="34" t="n"/>
      <c r="H37" s="33" t="n"/>
      <c r="I37" s="22">
        <f t="shared" si="0"/>
        <v/>
      </c>
      <c r="J37" s="22">
        <f t="shared" si="1"/>
        <v/>
      </c>
      <c r="K37" s="27">
        <f t="shared" si="2"/>
        <v/>
      </c>
      <c r="L37" s="29">
        <f t="shared" si="3"/>
        <v/>
      </c>
      <c r="M37" s="29">
        <f t="shared" si="4"/>
        <v/>
      </c>
    </row>
    <row r="38">
      <c r="B38" s="32" t="n"/>
      <c r="C38" s="33" t="n"/>
      <c r="D38" s="32" t="n"/>
      <c r="E38" s="34" t="n"/>
      <c r="F38" s="33" t="n"/>
      <c r="G38" s="34" t="n"/>
      <c r="H38" s="33" t="n"/>
      <c r="I38" s="22">
        <f t="shared" si="0"/>
        <v/>
      </c>
      <c r="J38" s="22">
        <f t="shared" si="1"/>
        <v/>
      </c>
      <c r="K38" s="27">
        <f t="shared" si="2"/>
        <v/>
      </c>
      <c r="L38" s="29">
        <f t="shared" si="3"/>
        <v/>
      </c>
      <c r="M38" s="29">
        <f t="shared" si="4"/>
        <v/>
      </c>
    </row>
    <row r="39">
      <c r="B39" s="32" t="n"/>
      <c r="C39" s="33" t="n"/>
      <c r="D39" s="32" t="n"/>
      <c r="E39" s="34" t="n"/>
      <c r="F39" s="33" t="n"/>
      <c r="G39" s="34" t="n"/>
      <c r="H39" s="33" t="n"/>
      <c r="I39" s="22">
        <f t="shared" si="0"/>
        <v/>
      </c>
      <c r="J39" s="22">
        <f t="shared" si="1"/>
        <v/>
      </c>
      <c r="K39" s="27">
        <f t="shared" si="2"/>
        <v/>
      </c>
      <c r="L39" s="29">
        <f t="shared" si="3"/>
        <v/>
      </c>
      <c r="M39" s="29">
        <f t="shared" si="4"/>
        <v/>
      </c>
    </row>
    <row r="40">
      <c r="B40" s="32" t="n"/>
      <c r="C40" s="33" t="n"/>
      <c r="D40" s="32" t="n"/>
      <c r="E40" s="34" t="n"/>
      <c r="F40" s="33" t="n"/>
      <c r="G40" s="34" t="n"/>
      <c r="H40" s="33" t="n"/>
      <c r="I40" s="22">
        <f t="shared" si="0"/>
        <v/>
      </c>
      <c r="J40" s="22">
        <f t="shared" si="1"/>
        <v/>
      </c>
      <c r="K40" s="27">
        <f t="shared" si="2"/>
        <v/>
      </c>
      <c r="L40" s="29">
        <f t="shared" si="3"/>
        <v/>
      </c>
      <c r="M40" s="29">
        <f t="shared" si="4"/>
        <v/>
      </c>
    </row>
    <row r="41">
      <c r="B41" s="32" t="n"/>
      <c r="C41" s="33" t="n"/>
      <c r="D41" s="32" t="n"/>
      <c r="E41" s="34" t="n"/>
      <c r="F41" s="33" t="n"/>
      <c r="G41" s="34" t="n"/>
      <c r="H41" s="33" t="n"/>
      <c r="I41" s="22">
        <f t="shared" si="0"/>
        <v/>
      </c>
      <c r="J41" s="22">
        <f t="shared" si="1"/>
        <v/>
      </c>
      <c r="K41" s="27">
        <f t="shared" si="2"/>
        <v/>
      </c>
      <c r="L41" s="29">
        <f t="shared" si="3"/>
        <v/>
      </c>
      <c r="M41" s="29">
        <f t="shared" si="4"/>
        <v/>
      </c>
    </row>
    <row r="42">
      <c r="B42" s="32" t="n"/>
      <c r="C42" s="33" t="n"/>
      <c r="D42" s="32" t="n"/>
      <c r="E42" s="34" t="n"/>
      <c r="F42" s="33" t="n"/>
      <c r="G42" s="34" t="n"/>
      <c r="H42" s="33" t="n"/>
      <c r="I42" s="22">
        <f t="shared" si="0"/>
        <v/>
      </c>
      <c r="J42" s="22">
        <f t="shared" si="1"/>
        <v/>
      </c>
      <c r="K42" s="27">
        <f t="shared" si="2"/>
        <v/>
      </c>
      <c r="L42" s="29">
        <f t="shared" si="3"/>
        <v/>
      </c>
      <c r="M42" s="29">
        <f t="shared" si="4"/>
        <v/>
      </c>
    </row>
    <row r="43">
      <c r="B43" s="32" t="n"/>
      <c r="C43" s="33" t="n"/>
      <c r="D43" s="32" t="n"/>
      <c r="E43" s="34" t="n"/>
      <c r="F43" s="33" t="n"/>
      <c r="G43" s="34" t="n"/>
      <c r="H43" s="33" t="n"/>
      <c r="I43" s="22">
        <f t="shared" si="0"/>
        <v/>
      </c>
      <c r="J43" s="22">
        <f t="shared" si="1"/>
        <v/>
      </c>
      <c r="K43" s="27">
        <f t="shared" si="2"/>
        <v/>
      </c>
      <c r="L43" s="29">
        <f t="shared" si="3"/>
        <v/>
      </c>
      <c r="M43" s="29">
        <f t="shared" si="4"/>
        <v/>
      </c>
    </row>
    <row r="44">
      <c r="B44" s="32" t="n"/>
      <c r="C44" s="33" t="n"/>
      <c r="D44" s="32" t="n"/>
      <c r="E44" s="34" t="n"/>
      <c r="F44" s="33" t="n"/>
      <c r="G44" s="34" t="n"/>
      <c r="H44" s="33" t="n"/>
      <c r="I44" s="22">
        <f t="shared" si="0"/>
        <v/>
      </c>
      <c r="J44" s="22">
        <f t="shared" si="1"/>
        <v/>
      </c>
      <c r="K44" s="27">
        <f t="shared" si="2"/>
        <v/>
      </c>
      <c r="L44" s="29">
        <f t="shared" si="3"/>
        <v/>
      </c>
      <c r="M44" s="29">
        <f t="shared" si="4"/>
        <v/>
      </c>
    </row>
    <row r="45">
      <c r="B45" s="32" t="n"/>
      <c r="C45" s="33" t="n"/>
      <c r="D45" s="32" t="n"/>
      <c r="E45" s="34" t="n"/>
      <c r="F45" s="33" t="n"/>
      <c r="G45" s="34" t="n"/>
      <c r="H45" s="33" t="n"/>
      <c r="I45" s="22">
        <f t="shared" si="0"/>
        <v/>
      </c>
      <c r="J45" s="22">
        <f t="shared" si="1"/>
        <v/>
      </c>
      <c r="K45" s="27">
        <f t="shared" si="2"/>
        <v/>
      </c>
      <c r="L45" s="29">
        <f t="shared" si="3"/>
        <v/>
      </c>
      <c r="M45" s="29">
        <f t="shared" si="4"/>
        <v/>
      </c>
    </row>
    <row r="46">
      <c r="B46" s="32" t="n"/>
      <c r="C46" s="33" t="n"/>
      <c r="D46" s="32" t="n"/>
      <c r="E46" s="34" t="n"/>
      <c r="F46" s="33" t="n"/>
      <c r="G46" s="34" t="n"/>
      <c r="H46" s="33" t="n"/>
      <c r="I46" s="22">
        <f t="shared" si="0"/>
        <v/>
      </c>
      <c r="J46" s="22">
        <f t="shared" si="1"/>
        <v/>
      </c>
      <c r="K46" s="27">
        <f t="shared" si="2"/>
        <v/>
      </c>
      <c r="L46" s="29">
        <f t="shared" si="3"/>
        <v/>
      </c>
      <c r="M46" s="29">
        <f t="shared" si="4"/>
        <v/>
      </c>
    </row>
    <row r="47">
      <c r="B47" s="32" t="n"/>
      <c r="C47" s="33" t="n"/>
      <c r="D47" s="32" t="n"/>
      <c r="E47" s="34" t="n"/>
      <c r="F47" s="33" t="n"/>
      <c r="G47" s="34" t="n"/>
      <c r="H47" s="33" t="n"/>
      <c r="I47" s="22">
        <f t="shared" si="0"/>
        <v/>
      </c>
      <c r="J47" s="22">
        <f t="shared" si="1"/>
        <v/>
      </c>
      <c r="K47" s="27">
        <f t="shared" si="2"/>
        <v/>
      </c>
      <c r="L47" s="29">
        <f t="shared" si="3"/>
        <v/>
      </c>
      <c r="M47" s="29">
        <f t="shared" si="4"/>
        <v/>
      </c>
    </row>
    <row r="48">
      <c r="B48" s="32" t="n"/>
      <c r="C48" s="33" t="n"/>
      <c r="D48" s="32" t="n"/>
      <c r="E48" s="34" t="n"/>
      <c r="F48" s="33" t="n"/>
      <c r="G48" s="34" t="n"/>
      <c r="H48" s="33" t="n"/>
      <c r="I48" s="22">
        <f t="shared" si="0"/>
        <v/>
      </c>
      <c r="J48" s="22">
        <f t="shared" si="1"/>
        <v/>
      </c>
      <c r="K48" s="27">
        <f t="shared" si="2"/>
        <v/>
      </c>
      <c r="L48" s="29">
        <f t="shared" si="3"/>
        <v/>
      </c>
      <c r="M48" s="29">
        <f t="shared" si="4"/>
        <v/>
      </c>
    </row>
    <row r="49">
      <c r="B49" s="32" t="n"/>
      <c r="C49" s="33" t="n"/>
      <c r="D49" s="32" t="n"/>
      <c r="E49" s="34" t="n"/>
      <c r="F49" s="33" t="n"/>
      <c r="G49" s="34" t="n"/>
      <c r="H49" s="33" t="n"/>
      <c r="I49" s="22">
        <f t="shared" si="0"/>
        <v/>
      </c>
      <c r="J49" s="22">
        <f t="shared" si="1"/>
        <v/>
      </c>
      <c r="K49" s="27">
        <f t="shared" si="2"/>
        <v/>
      </c>
      <c r="L49" s="29">
        <f t="shared" si="3"/>
        <v/>
      </c>
      <c r="M49" s="29">
        <f t="shared" si="4"/>
        <v/>
      </c>
    </row>
    <row r="50">
      <c r="B50" s="32" t="n"/>
      <c r="C50" s="33" t="n"/>
      <c r="D50" s="32" t="n"/>
      <c r="E50" s="34" t="n"/>
      <c r="F50" s="33" t="n"/>
      <c r="G50" s="34" t="n"/>
      <c r="H50" s="33" t="n"/>
      <c r="I50" s="22">
        <f t="shared" si="0"/>
        <v/>
      </c>
      <c r="J50" s="22">
        <f t="shared" si="1"/>
        <v/>
      </c>
      <c r="K50" s="27">
        <f t="shared" si="2"/>
        <v/>
      </c>
      <c r="L50" s="29">
        <f t="shared" si="3"/>
        <v/>
      </c>
      <c r="M50" s="29">
        <f t="shared" si="4"/>
        <v/>
      </c>
    </row>
    <row r="51">
      <c r="B51" s="32" t="n"/>
      <c r="C51" s="33" t="n"/>
      <c r="D51" s="32" t="n"/>
      <c r="E51" s="34" t="n"/>
      <c r="F51" s="33" t="n"/>
      <c r="G51" s="34" t="n"/>
      <c r="H51" s="33" t="n"/>
      <c r="I51" s="22">
        <f t="shared" si="0"/>
        <v/>
      </c>
      <c r="J51" s="22">
        <f t="shared" si="1"/>
        <v/>
      </c>
      <c r="K51" s="27">
        <f t="shared" si="2"/>
        <v/>
      </c>
      <c r="L51" s="29">
        <f t="shared" si="3"/>
        <v/>
      </c>
      <c r="M51" s="29">
        <f t="shared" si="4"/>
        <v/>
      </c>
    </row>
    <row r="52">
      <c r="B52" s="32" t="n"/>
      <c r="C52" s="33" t="n"/>
      <c r="D52" s="32" t="n"/>
      <c r="E52" s="34" t="n"/>
      <c r="F52" s="33" t="n"/>
      <c r="G52" s="34" t="n"/>
      <c r="H52" s="33" t="n"/>
      <c r="I52" s="22">
        <f t="shared" si="0"/>
        <v/>
      </c>
      <c r="J52" s="22">
        <f t="shared" si="1"/>
        <v/>
      </c>
      <c r="K52" s="27">
        <f t="shared" si="2"/>
        <v/>
      </c>
      <c r="L52" s="29">
        <f t="shared" si="3"/>
        <v/>
      </c>
      <c r="M52" s="29">
        <f t="shared" si="4"/>
        <v/>
      </c>
    </row>
    <row r="53">
      <c r="B53" s="32" t="n"/>
      <c r="C53" s="33" t="n"/>
      <c r="D53" s="32" t="n"/>
      <c r="E53" s="34" t="n"/>
      <c r="F53" s="33" t="n"/>
      <c r="G53" s="34" t="n"/>
      <c r="H53" s="33" t="n"/>
      <c r="I53" s="22">
        <f t="shared" si="0"/>
        <v/>
      </c>
      <c r="J53" s="22">
        <f t="shared" si="1"/>
        <v/>
      </c>
      <c r="K53" s="27">
        <f t="shared" si="2"/>
        <v/>
      </c>
      <c r="L53" s="29">
        <f t="shared" si="3"/>
        <v/>
      </c>
      <c r="M53" s="29">
        <f t="shared" si="4"/>
        <v/>
      </c>
    </row>
    <row r="54">
      <c r="B54" s="32" t="n"/>
      <c r="C54" s="33" t="n"/>
      <c r="D54" s="32" t="n"/>
      <c r="E54" s="34" t="n"/>
      <c r="F54" s="33" t="n"/>
      <c r="G54" s="34" t="n"/>
      <c r="H54" s="33" t="n"/>
      <c r="I54" s="22">
        <f t="shared" si="0"/>
        <v/>
      </c>
      <c r="J54" s="22">
        <f t="shared" si="1"/>
        <v/>
      </c>
      <c r="K54" s="27">
        <f t="shared" si="2"/>
        <v/>
      </c>
      <c r="L54" s="29">
        <f t="shared" si="3"/>
        <v/>
      </c>
      <c r="M54" s="29">
        <f t="shared" si="4"/>
        <v/>
      </c>
    </row>
    <row r="55">
      <c r="B55" s="32" t="n"/>
      <c r="C55" s="33" t="n"/>
      <c r="D55" s="32" t="n"/>
      <c r="E55" s="34" t="n"/>
      <c r="F55" s="33" t="n"/>
      <c r="G55" s="34" t="n"/>
      <c r="H55" s="33" t="n"/>
      <c r="I55" s="22">
        <f t="shared" si="0"/>
        <v/>
      </c>
      <c r="J55" s="22">
        <f t="shared" si="1"/>
        <v/>
      </c>
      <c r="K55" s="27">
        <f t="shared" si="2"/>
        <v/>
      </c>
      <c r="L55" s="29">
        <f t="shared" si="3"/>
        <v/>
      </c>
      <c r="M55" s="29">
        <f t="shared" si="4"/>
        <v/>
      </c>
    </row>
    <row r="56">
      <c r="B56" s="32" t="n"/>
      <c r="C56" s="33" t="n"/>
      <c r="D56" s="32" t="n"/>
      <c r="E56" s="34" t="n"/>
      <c r="F56" s="33" t="n"/>
      <c r="G56" s="34" t="n"/>
      <c r="H56" s="33" t="n"/>
      <c r="I56" s="22">
        <f t="shared" si="0"/>
        <v/>
      </c>
      <c r="J56" s="22">
        <f t="shared" si="1"/>
        <v/>
      </c>
      <c r="K56" s="27">
        <f t="shared" si="2"/>
        <v/>
      </c>
      <c r="L56" s="29">
        <f t="shared" si="3"/>
        <v/>
      </c>
      <c r="M56" s="29">
        <f t="shared" si="4"/>
        <v/>
      </c>
    </row>
    <row r="57">
      <c r="B57" s="32" t="n"/>
      <c r="C57" s="33" t="n"/>
      <c r="D57" s="32" t="n"/>
      <c r="E57" s="34" t="n"/>
      <c r="F57" s="33" t="n"/>
      <c r="G57" s="34" t="n"/>
      <c r="H57" s="33" t="n"/>
      <c r="I57" s="22">
        <f t="shared" si="0"/>
        <v/>
      </c>
      <c r="J57" s="22">
        <f t="shared" si="1"/>
        <v/>
      </c>
      <c r="K57" s="27">
        <f t="shared" si="2"/>
        <v/>
      </c>
      <c r="L57" s="29">
        <f t="shared" si="3"/>
        <v/>
      </c>
      <c r="M57" s="29">
        <f t="shared" si="4"/>
        <v/>
      </c>
    </row>
    <row r="58">
      <c r="B58" s="32" t="n"/>
      <c r="C58" s="33" t="n"/>
      <c r="D58" s="32" t="n"/>
      <c r="E58" s="34" t="n"/>
      <c r="F58" s="33" t="n"/>
      <c r="G58" s="34" t="n"/>
      <c r="H58" s="33" t="n"/>
      <c r="I58" s="22">
        <f t="shared" si="0"/>
        <v/>
      </c>
      <c r="J58" s="22">
        <f t="shared" si="1"/>
        <v/>
      </c>
      <c r="K58" s="27">
        <f t="shared" si="2"/>
        <v/>
      </c>
      <c r="L58" s="29">
        <f t="shared" si="3"/>
        <v/>
      </c>
      <c r="M58" s="29">
        <f t="shared" si="4"/>
        <v/>
      </c>
    </row>
    <row r="59">
      <c r="B59" s="32" t="n"/>
      <c r="C59" s="33" t="n"/>
      <c r="D59" s="32" t="n"/>
      <c r="E59" s="34" t="n"/>
      <c r="F59" s="33" t="n"/>
      <c r="G59" s="34" t="n"/>
      <c r="H59" s="33" t="n"/>
      <c r="I59" s="22">
        <f t="shared" si="0"/>
        <v/>
      </c>
      <c r="J59" s="22">
        <f t="shared" si="1"/>
        <v/>
      </c>
      <c r="K59" s="27">
        <f t="shared" si="2"/>
        <v/>
      </c>
      <c r="L59" s="29">
        <f t="shared" si="3"/>
        <v/>
      </c>
      <c r="M59" s="29">
        <f t="shared" si="4"/>
        <v/>
      </c>
    </row>
    <row r="60">
      <c r="B60" s="32" t="n"/>
      <c r="C60" s="33" t="n"/>
      <c r="D60" s="32" t="n"/>
      <c r="E60" s="34" t="n"/>
      <c r="F60" s="33" t="n"/>
      <c r="G60" s="34" t="n"/>
      <c r="H60" s="33" t="n"/>
      <c r="I60" s="22">
        <f t="shared" si="0"/>
        <v/>
      </c>
      <c r="J60" s="22">
        <f t="shared" si="1"/>
        <v/>
      </c>
      <c r="K60" s="27">
        <f t="shared" si="2"/>
        <v/>
      </c>
      <c r="L60" s="29">
        <f t="shared" si="3"/>
        <v/>
      </c>
      <c r="M60" s="29">
        <f t="shared" si="4"/>
        <v/>
      </c>
    </row>
    <row r="61">
      <c r="B61" s="32" t="n"/>
      <c r="C61" s="33" t="n"/>
      <c r="D61" s="32" t="n"/>
      <c r="E61" s="34" t="n"/>
      <c r="F61" s="33" t="n"/>
      <c r="G61" s="34" t="n"/>
      <c r="H61" s="33" t="n"/>
      <c r="I61" s="22">
        <f t="shared" si="0"/>
        <v/>
      </c>
      <c r="J61" s="22">
        <f t="shared" si="1"/>
        <v/>
      </c>
      <c r="K61" s="27">
        <f t="shared" si="2"/>
        <v/>
      </c>
      <c r="L61" s="29">
        <f t="shared" si="3"/>
        <v/>
      </c>
      <c r="M61" s="29">
        <f t="shared" si="4"/>
        <v/>
      </c>
    </row>
    <row r="62">
      <c r="B62" s="32" t="n"/>
      <c r="C62" s="33" t="n"/>
      <c r="D62" s="32" t="n"/>
      <c r="E62" s="34" t="n"/>
      <c r="F62" s="33" t="n"/>
      <c r="G62" s="34" t="n"/>
      <c r="H62" s="33" t="n"/>
      <c r="I62" s="22">
        <f t="shared" si="0"/>
        <v/>
      </c>
      <c r="J62" s="22">
        <f t="shared" si="1"/>
        <v/>
      </c>
      <c r="K62" s="27">
        <f t="shared" si="2"/>
        <v/>
      </c>
      <c r="L62" s="29">
        <f t="shared" si="3"/>
        <v/>
      </c>
      <c r="M62" s="29">
        <f t="shared" si="4"/>
        <v/>
      </c>
    </row>
    <row r="63">
      <c r="B63" s="32" t="n"/>
      <c r="C63" s="33" t="n"/>
      <c r="D63" s="32" t="n"/>
      <c r="E63" s="34" t="n"/>
      <c r="F63" s="33" t="n"/>
      <c r="G63" s="34" t="n"/>
      <c r="H63" s="33" t="n"/>
      <c r="I63" s="22">
        <f t="shared" si="0"/>
        <v/>
      </c>
      <c r="J63" s="22">
        <f t="shared" si="1"/>
        <v/>
      </c>
      <c r="K63" s="27">
        <f t="shared" si="2"/>
        <v/>
      </c>
      <c r="L63" s="29">
        <f t="shared" si="3"/>
        <v/>
      </c>
      <c r="M63" s="29">
        <f t="shared" si="4"/>
        <v/>
      </c>
    </row>
    <row r="64">
      <c r="B64" s="32" t="n"/>
      <c r="C64" s="33" t="n"/>
      <c r="D64" s="32" t="n"/>
      <c r="E64" s="34" t="n"/>
      <c r="F64" s="33" t="n"/>
      <c r="G64" s="34" t="n"/>
      <c r="H64" s="33" t="n"/>
      <c r="I64" s="22">
        <f t="shared" si="0"/>
        <v/>
      </c>
      <c r="J64" s="22">
        <f t="shared" si="1"/>
        <v/>
      </c>
      <c r="K64" s="27">
        <f t="shared" si="2"/>
        <v/>
      </c>
      <c r="L64" s="29">
        <f t="shared" si="3"/>
        <v/>
      </c>
      <c r="M64" s="29">
        <f t="shared" si="4"/>
        <v/>
      </c>
    </row>
    <row r="65">
      <c r="B65" s="32" t="n"/>
      <c r="C65" s="33" t="n"/>
      <c r="D65" s="32" t="n"/>
      <c r="E65" s="34" t="n"/>
      <c r="F65" s="33" t="n"/>
      <c r="G65" s="34" t="n"/>
      <c r="H65" s="33" t="n"/>
      <c r="I65" s="22">
        <f t="shared" si="0"/>
        <v/>
      </c>
      <c r="J65" s="22">
        <f t="shared" si="1"/>
        <v/>
      </c>
      <c r="K65" s="27">
        <f t="shared" si="2"/>
        <v/>
      </c>
      <c r="L65" s="29">
        <f t="shared" si="3"/>
        <v/>
      </c>
      <c r="M65" s="29">
        <f t="shared" si="4"/>
        <v/>
      </c>
    </row>
    <row r="66">
      <c r="B66" s="32" t="n"/>
      <c r="C66" s="33" t="n"/>
      <c r="D66" s="32" t="n"/>
      <c r="E66" s="34" t="n"/>
      <c r="F66" s="33" t="n"/>
      <c r="G66" s="34" t="n"/>
      <c r="H66" s="33" t="n"/>
      <c r="I66" s="22">
        <f t="shared" si="0"/>
        <v/>
      </c>
      <c r="J66" s="22">
        <f t="shared" si="1"/>
        <v/>
      </c>
      <c r="K66" s="27">
        <f t="shared" si="2"/>
        <v/>
      </c>
      <c r="L66" s="29">
        <f t="shared" si="3"/>
        <v/>
      </c>
      <c r="M66" s="29">
        <f t="shared" si="4"/>
        <v/>
      </c>
    </row>
    <row r="67">
      <c r="B67" s="32" t="n"/>
      <c r="C67" s="33" t="n"/>
      <c r="D67" s="32" t="n"/>
      <c r="E67" s="34" t="n"/>
      <c r="F67" s="33" t="n"/>
      <c r="G67" s="34" t="n"/>
      <c r="H67" s="33" t="n"/>
      <c r="I67" s="22">
        <f t="shared" si="0"/>
        <v/>
      </c>
      <c r="J67" s="22">
        <f t="shared" si="1"/>
        <v/>
      </c>
      <c r="K67" s="27">
        <f t="shared" si="2"/>
        <v/>
      </c>
      <c r="L67" s="29">
        <f t="shared" si="3"/>
        <v/>
      </c>
      <c r="M67" s="29">
        <f t="shared" si="4"/>
        <v/>
      </c>
    </row>
    <row r="68">
      <c r="B68" s="32" t="n"/>
      <c r="C68" s="33" t="n"/>
      <c r="D68" s="32" t="n"/>
      <c r="E68" s="34" t="n"/>
      <c r="F68" s="33" t="n"/>
      <c r="G68" s="34" t="n"/>
      <c r="H68" s="33" t="n"/>
      <c r="I68" s="22">
        <f t="shared" si="0"/>
        <v/>
      </c>
      <c r="J68" s="22">
        <f t="shared" si="1"/>
        <v/>
      </c>
      <c r="K68" s="27">
        <f t="shared" si="2"/>
        <v/>
      </c>
      <c r="L68" s="29">
        <f t="shared" si="3"/>
        <v/>
      </c>
      <c r="M68" s="29">
        <f t="shared" si="4"/>
        <v/>
      </c>
    </row>
    <row r="69">
      <c r="B69" s="32" t="n"/>
      <c r="C69" s="33" t="n"/>
      <c r="D69" s="32" t="n"/>
      <c r="E69" s="34" t="n"/>
      <c r="F69" s="33" t="n"/>
      <c r="G69" s="34" t="n"/>
      <c r="H69" s="33" t="n"/>
      <c r="I69" s="22">
        <f t="shared" si="0"/>
        <v/>
      </c>
      <c r="J69" s="22">
        <f t="shared" si="1"/>
        <v/>
      </c>
      <c r="K69" s="27">
        <f t="shared" si="2"/>
        <v/>
      </c>
      <c r="L69" s="29">
        <f t="shared" si="3"/>
        <v/>
      </c>
      <c r="M69" s="29">
        <f t="shared" si="4"/>
        <v/>
      </c>
    </row>
    <row r="70">
      <c r="B70" s="32" t="n"/>
      <c r="C70" s="33" t="n"/>
      <c r="D70" s="32" t="n"/>
      <c r="E70" s="34" t="n"/>
      <c r="F70" s="33" t="n"/>
      <c r="G70" s="34" t="n"/>
      <c r="H70" s="33" t="n"/>
      <c r="I70" s="22">
        <f t="shared" si="0"/>
        <v/>
      </c>
      <c r="J70" s="22">
        <f t="shared" si="1"/>
        <v/>
      </c>
      <c r="K70" s="27">
        <f t="shared" si="2"/>
        <v/>
      </c>
      <c r="L70" s="29">
        <f t="shared" si="3"/>
        <v/>
      </c>
      <c r="M70" s="29">
        <f t="shared" si="4"/>
        <v/>
      </c>
    </row>
    <row r="71">
      <c r="B71" s="32" t="n"/>
      <c r="C71" s="33" t="n"/>
      <c r="D71" s="32" t="n"/>
      <c r="E71" s="34" t="n"/>
      <c r="F71" s="33" t="n"/>
      <c r="G71" s="34" t="n"/>
      <c r="H71" s="33" t="n"/>
      <c r="I71" s="22">
        <f t="shared" si="0"/>
        <v/>
      </c>
      <c r="J71" s="22">
        <f t="shared" si="1"/>
        <v/>
      </c>
      <c r="K71" s="27">
        <f t="shared" si="2"/>
        <v/>
      </c>
      <c r="L71" s="29">
        <f t="shared" si="3"/>
        <v/>
      </c>
      <c r="M71" s="29">
        <f t="shared" si="4"/>
        <v/>
      </c>
    </row>
    <row r="72">
      <c r="B72" s="32" t="n"/>
      <c r="C72" s="33" t="n"/>
      <c r="D72" s="32" t="n"/>
      <c r="E72" s="34" t="n"/>
      <c r="F72" s="33" t="n"/>
      <c r="G72" s="34" t="n"/>
      <c r="H72" s="33" t="n"/>
      <c r="I72" s="22">
        <f t="shared" si="0"/>
        <v/>
      </c>
      <c r="J72" s="22">
        <f t="shared" si="1"/>
        <v/>
      </c>
      <c r="K72" s="27">
        <f t="shared" si="2"/>
        <v/>
      </c>
      <c r="L72" s="29">
        <f t="shared" si="3"/>
        <v/>
      </c>
      <c r="M72" s="29">
        <f t="shared" si="4"/>
        <v/>
      </c>
    </row>
    <row r="73">
      <c r="B73" s="32" t="n"/>
      <c r="C73" s="33" t="n"/>
      <c r="D73" s="32" t="n"/>
      <c r="E73" s="34" t="n"/>
      <c r="F73" s="33" t="n"/>
      <c r="G73" s="34" t="n"/>
      <c r="H73" s="33" t="n"/>
      <c r="I73" s="22">
        <f t="shared" si="0"/>
        <v/>
      </c>
      <c r="J73" s="22">
        <f t="shared" si="1"/>
        <v/>
      </c>
      <c r="K73" s="27">
        <f t="shared" si="2"/>
        <v/>
      </c>
      <c r="L73" s="29">
        <f t="shared" si="3"/>
        <v/>
      </c>
      <c r="M73" s="29">
        <f t="shared" si="4"/>
        <v/>
      </c>
    </row>
    <row r="74">
      <c r="B74" s="32" t="n"/>
      <c r="C74" s="33" t="n"/>
      <c r="D74" s="32" t="n"/>
      <c r="E74" s="34" t="n"/>
      <c r="F74" s="33" t="n"/>
      <c r="G74" s="34" t="n"/>
      <c r="H74" s="33" t="n"/>
      <c r="I74" s="22">
        <f t="shared" si="0"/>
        <v/>
      </c>
      <c r="J74" s="22">
        <f t="shared" si="1"/>
        <v/>
      </c>
      <c r="K74" s="27">
        <f t="shared" si="2"/>
        <v/>
      </c>
      <c r="L74" s="29">
        <f t="shared" si="3"/>
        <v/>
      </c>
      <c r="M74" s="29">
        <f t="shared" si="4"/>
        <v/>
      </c>
    </row>
    <row r="75">
      <c r="B75" s="32" t="n"/>
      <c r="C75" s="33" t="n"/>
      <c r="D75" s="32" t="n"/>
      <c r="E75" s="34" t="n"/>
      <c r="F75" s="33" t="n"/>
      <c r="G75" s="34" t="n"/>
      <c r="H75" s="33" t="n"/>
      <c r="I75" s="22">
        <f t="shared" si="0"/>
        <v/>
      </c>
      <c r="J75" s="22">
        <f t="shared" si="1"/>
        <v/>
      </c>
      <c r="K75" s="27">
        <f t="shared" si="2"/>
        <v/>
      </c>
      <c r="L75" s="29">
        <f t="shared" si="3"/>
        <v/>
      </c>
      <c r="M75" s="29">
        <f t="shared" si="4"/>
        <v/>
      </c>
    </row>
    <row r="76">
      <c r="B76" s="32" t="n"/>
      <c r="C76" s="33" t="n"/>
      <c r="D76" s="32" t="n"/>
      <c r="E76" s="34" t="n"/>
      <c r="F76" s="33" t="n"/>
      <c r="G76" s="34" t="n"/>
      <c r="H76" s="33" t="n"/>
      <c r="I76" s="22">
        <f t="shared" si="0"/>
        <v/>
      </c>
      <c r="J76" s="22">
        <f t="shared" si="1"/>
        <v/>
      </c>
      <c r="K76" s="27">
        <f t="shared" si="2"/>
        <v/>
      </c>
      <c r="L76" s="29">
        <f t="shared" si="3"/>
        <v/>
      </c>
      <c r="M76" s="29">
        <f t="shared" si="4"/>
        <v/>
      </c>
    </row>
    <row r="77">
      <c r="B77" s="32" t="n"/>
      <c r="C77" s="33" t="n"/>
      <c r="D77" s="32" t="n"/>
      <c r="E77" s="34" t="n"/>
      <c r="F77" s="33" t="n"/>
      <c r="G77" s="34" t="n"/>
      <c r="H77" s="33" t="n"/>
      <c r="I77" s="22">
        <f t="shared" si="0"/>
        <v/>
      </c>
      <c r="J77" s="22">
        <f t="shared" si="1"/>
        <v/>
      </c>
      <c r="K77" s="27">
        <f t="shared" si="2"/>
        <v/>
      </c>
      <c r="L77" s="29">
        <f t="shared" si="3"/>
        <v/>
      </c>
      <c r="M77" s="29">
        <f t="shared" si="4"/>
        <v/>
      </c>
    </row>
    <row r="78">
      <c r="B78" s="32" t="n"/>
      <c r="C78" s="33" t="n"/>
      <c r="D78" s="32" t="n"/>
      <c r="E78" s="34" t="n"/>
      <c r="F78" s="33" t="n"/>
      <c r="G78" s="34" t="n"/>
      <c r="H78" s="33" t="n"/>
      <c r="I78" s="22">
        <f t="shared" si="0"/>
        <v/>
      </c>
      <c r="J78" s="22">
        <f t="shared" si="1"/>
        <v/>
      </c>
      <c r="K78" s="27">
        <f t="shared" si="2"/>
        <v/>
      </c>
      <c r="L78" s="29">
        <f t="shared" si="3"/>
        <v/>
      </c>
      <c r="M78" s="29">
        <f t="shared" si="4"/>
        <v/>
      </c>
    </row>
    <row r="79">
      <c r="B79" s="32" t="n"/>
      <c r="C79" s="33" t="n"/>
      <c r="D79" s="32" t="n"/>
      <c r="E79" s="34" t="n"/>
      <c r="F79" s="33" t="n"/>
      <c r="G79" s="34" t="n"/>
      <c r="H79" s="33" t="n"/>
      <c r="I79" s="22">
        <f t="shared" si="0"/>
        <v/>
      </c>
      <c r="J79" s="22">
        <f t="shared" si="1"/>
        <v/>
      </c>
      <c r="K79" s="27">
        <f t="shared" si="2"/>
        <v/>
      </c>
      <c r="L79" s="29">
        <f t="shared" si="3"/>
        <v/>
      </c>
      <c r="M79" s="29">
        <f t="shared" si="4"/>
        <v/>
      </c>
    </row>
    <row r="80">
      <c r="B80" s="32" t="n"/>
      <c r="C80" s="33" t="n"/>
      <c r="D80" s="32" t="n"/>
      <c r="E80" s="34" t="n"/>
      <c r="F80" s="33" t="n"/>
      <c r="G80" s="34" t="n"/>
      <c r="H80" s="33" t="n"/>
      <c r="I80" s="22">
        <f t="shared" si="0"/>
        <v/>
      </c>
      <c r="J80" s="22">
        <f t="shared" si="1"/>
        <v/>
      </c>
      <c r="K80" s="27">
        <f t="shared" si="2"/>
        <v/>
      </c>
      <c r="L80" s="29">
        <f t="shared" si="3"/>
        <v/>
      </c>
      <c r="M80" s="29">
        <f t="shared" si="4"/>
        <v/>
      </c>
    </row>
    <row r="81">
      <c r="B81" s="32" t="n"/>
      <c r="C81" s="33" t="n"/>
      <c r="D81" s="32" t="n"/>
      <c r="E81" s="34" t="n"/>
      <c r="F81" s="33" t="n"/>
      <c r="G81" s="34" t="n"/>
      <c r="H81" s="33" t="n"/>
      <c r="I81" s="22">
        <f t="shared" si="0"/>
        <v/>
      </c>
      <c r="J81" s="22">
        <f t="shared" si="1"/>
        <v/>
      </c>
      <c r="K81" s="27">
        <f t="shared" si="2"/>
        <v/>
      </c>
      <c r="L81" s="29">
        <f t="shared" si="3"/>
        <v/>
      </c>
      <c r="M81" s="29">
        <f t="shared" si="4"/>
        <v/>
      </c>
    </row>
    <row r="82">
      <c r="B82" s="32" t="n"/>
      <c r="C82" s="33" t="n"/>
      <c r="D82" s="32" t="n"/>
      <c r="E82" s="34" t="n"/>
      <c r="F82" s="33" t="n"/>
      <c r="G82" s="34" t="n"/>
      <c r="H82" s="33" t="n"/>
      <c r="I82" s="22">
        <f t="shared" si="0"/>
        <v/>
      </c>
      <c r="J82" s="22">
        <f t="shared" si="1"/>
        <v/>
      </c>
      <c r="K82" s="27">
        <f t="shared" si="2"/>
        <v/>
      </c>
      <c r="L82" s="29">
        <f t="shared" si="3"/>
        <v/>
      </c>
      <c r="M82" s="29">
        <f t="shared" si="4"/>
        <v/>
      </c>
    </row>
    <row r="83">
      <c r="B83" s="32" t="n"/>
      <c r="C83" s="33" t="n"/>
      <c r="D83" s="32" t="n"/>
      <c r="E83" s="34" t="n"/>
      <c r="F83" s="33" t="n"/>
      <c r="G83" s="34" t="n"/>
      <c r="H83" s="33" t="n"/>
      <c r="I83" s="22">
        <f t="shared" si="0"/>
        <v/>
      </c>
      <c r="J83" s="22">
        <f t="shared" si="1"/>
        <v/>
      </c>
      <c r="K83" s="27">
        <f t="shared" si="2"/>
        <v/>
      </c>
      <c r="L83" s="29">
        <f t="shared" si="3"/>
        <v/>
      </c>
      <c r="M83" s="29">
        <f t="shared" si="4"/>
        <v/>
      </c>
    </row>
    <row r="84">
      <c r="B84" s="32" t="n"/>
      <c r="C84" s="33" t="n"/>
      <c r="D84" s="32" t="n"/>
      <c r="E84" s="34" t="n"/>
      <c r="F84" s="33" t="n"/>
      <c r="G84" s="34" t="n"/>
      <c r="H84" s="33" t="n"/>
      <c r="I84" s="22">
        <f t="shared" si="0"/>
        <v/>
      </c>
      <c r="J84" s="22">
        <f t="shared" si="1"/>
        <v/>
      </c>
      <c r="K84" s="27">
        <f t="shared" si="2"/>
        <v/>
      </c>
      <c r="L84" s="29">
        <f t="shared" si="3"/>
        <v/>
      </c>
      <c r="M84" s="29">
        <f t="shared" si="4"/>
        <v/>
      </c>
    </row>
    <row r="85">
      <c r="B85" s="32" t="n"/>
      <c r="C85" s="33" t="n"/>
      <c r="D85" s="32" t="n"/>
      <c r="E85" s="34" t="n"/>
      <c r="F85" s="33" t="n"/>
      <c r="G85" s="34" t="n"/>
      <c r="H85" s="33" t="n"/>
      <c r="I85" s="22">
        <f t="shared" si="0"/>
        <v/>
      </c>
      <c r="J85" s="22">
        <f t="shared" si="1"/>
        <v/>
      </c>
      <c r="K85" s="27">
        <f t="shared" si="2"/>
        <v/>
      </c>
      <c r="L85" s="29">
        <f t="shared" si="3"/>
        <v/>
      </c>
      <c r="M85" s="29">
        <f t="shared" si="4"/>
        <v/>
      </c>
    </row>
    <row r="86">
      <c r="B86" s="32" t="n"/>
      <c r="C86" s="33" t="n"/>
      <c r="D86" s="32" t="n"/>
      <c r="E86" s="34" t="n"/>
      <c r="F86" s="33" t="n"/>
      <c r="G86" s="34" t="n"/>
      <c r="H86" s="33" t="n"/>
      <c r="I86" s="22">
        <f t="shared" si="0"/>
        <v/>
      </c>
      <c r="J86" s="22">
        <f t="shared" si="1"/>
        <v/>
      </c>
      <c r="K86" s="27">
        <f t="shared" si="2"/>
        <v/>
      </c>
      <c r="L86" s="29">
        <f t="shared" si="3"/>
        <v/>
      </c>
      <c r="M86" s="29">
        <f t="shared" si="4"/>
        <v/>
      </c>
    </row>
    <row r="87">
      <c r="B87" s="32" t="n"/>
      <c r="C87" s="33" t="n"/>
      <c r="D87" s="32" t="n"/>
      <c r="E87" s="34" t="n"/>
      <c r="F87" s="33" t="n"/>
      <c r="G87" s="34" t="n"/>
      <c r="H87" s="33" t="n"/>
      <c r="I87" s="22">
        <f t="shared" si="0"/>
        <v/>
      </c>
      <c r="J87" s="22">
        <f t="shared" si="1"/>
        <v/>
      </c>
      <c r="K87" s="27">
        <f t="shared" si="2"/>
        <v/>
      </c>
      <c r="L87" s="29">
        <f t="shared" si="3"/>
        <v/>
      </c>
      <c r="M87" s="29">
        <f t="shared" si="4"/>
        <v/>
      </c>
    </row>
    <row r="88">
      <c r="B88" s="32" t="n"/>
      <c r="C88" s="33" t="n"/>
      <c r="D88" s="32" t="n"/>
      <c r="E88" s="34" t="n"/>
      <c r="F88" s="33" t="n"/>
      <c r="G88" s="34" t="n"/>
      <c r="H88" s="33" t="n"/>
      <c r="I88" s="22">
        <f t="shared" si="0"/>
        <v/>
      </c>
      <c r="J88" s="22">
        <f t="shared" si="1"/>
        <v/>
      </c>
      <c r="K88" s="27">
        <f t="shared" si="2"/>
        <v/>
      </c>
      <c r="L88" s="29">
        <f t="shared" si="3"/>
        <v/>
      </c>
      <c r="M88" s="29">
        <f t="shared" si="4"/>
        <v/>
      </c>
    </row>
    <row r="89">
      <c r="B89" s="32" t="n"/>
      <c r="C89" s="33" t="n"/>
      <c r="D89" s="32" t="n"/>
      <c r="E89" s="34" t="n"/>
      <c r="F89" s="33" t="n"/>
      <c r="G89" s="34" t="n"/>
      <c r="H89" s="33" t="n"/>
      <c r="I89" s="22">
        <f t="shared" si="0"/>
        <v/>
      </c>
      <c r="J89" s="22">
        <f t="shared" si="1"/>
        <v/>
      </c>
      <c r="K89" s="27">
        <f t="shared" si="2"/>
        <v/>
      </c>
      <c r="L89" s="29">
        <f t="shared" si="3"/>
        <v/>
      </c>
      <c r="M89" s="29">
        <f t="shared" si="4"/>
        <v/>
      </c>
    </row>
    <row r="90">
      <c r="B90" s="32" t="n"/>
      <c r="C90" s="33" t="n"/>
      <c r="D90" s="32" t="n"/>
      <c r="E90" s="34" t="n"/>
      <c r="F90" s="33" t="n"/>
      <c r="G90" s="34" t="n"/>
      <c r="H90" s="33" t="n"/>
      <c r="I90" s="22">
        <f t="shared" si="0"/>
        <v/>
      </c>
      <c r="J90" s="22">
        <f t="shared" si="1"/>
        <v/>
      </c>
      <c r="K90" s="27">
        <f t="shared" si="2"/>
        <v/>
      </c>
      <c r="L90" s="29">
        <f t="shared" si="3"/>
        <v/>
      </c>
      <c r="M90" s="29">
        <f t="shared" si="4"/>
        <v/>
      </c>
    </row>
    <row r="91">
      <c r="B91" s="32" t="n"/>
      <c r="C91" s="33" t="n"/>
      <c r="D91" s="32" t="n"/>
      <c r="E91" s="34" t="n"/>
      <c r="F91" s="33" t="n"/>
      <c r="G91" s="34" t="n"/>
      <c r="H91" s="33" t="n"/>
      <c r="I91" s="22">
        <f t="shared" si="0"/>
        <v/>
      </c>
      <c r="J91" s="22">
        <f t="shared" si="1"/>
        <v/>
      </c>
      <c r="K91" s="27">
        <f t="shared" si="2"/>
        <v/>
      </c>
      <c r="L91" s="29">
        <f t="shared" si="3"/>
        <v/>
      </c>
      <c r="M91" s="29">
        <f t="shared" si="4"/>
        <v/>
      </c>
    </row>
    <row r="92">
      <c r="B92" s="32" t="n"/>
      <c r="C92" s="33" t="n"/>
      <c r="D92" s="32" t="n"/>
      <c r="E92" s="34" t="n"/>
      <c r="F92" s="33" t="n"/>
      <c r="G92" s="34" t="n"/>
      <c r="H92" s="33" t="n"/>
      <c r="I92" s="22">
        <f t="shared" si="0"/>
        <v/>
      </c>
      <c r="J92" s="22">
        <f t="shared" si="1"/>
        <v/>
      </c>
      <c r="K92" s="27">
        <f t="shared" si="2"/>
        <v/>
      </c>
      <c r="L92" s="29">
        <f t="shared" si="3"/>
        <v/>
      </c>
      <c r="M92" s="29">
        <f t="shared" si="4"/>
        <v/>
      </c>
    </row>
    <row r="93">
      <c r="B93" s="32" t="n"/>
      <c r="C93" s="33" t="n"/>
      <c r="D93" s="32" t="n"/>
      <c r="E93" s="34" t="n"/>
      <c r="F93" s="33" t="n"/>
      <c r="G93" s="34" t="n"/>
      <c r="H93" s="33" t="n"/>
      <c r="I93" s="22">
        <f t="shared" si="0"/>
        <v/>
      </c>
      <c r="J93" s="22">
        <f t="shared" si="1"/>
        <v/>
      </c>
      <c r="K93" s="27">
        <f t="shared" si="2"/>
        <v/>
      </c>
      <c r="L93" s="29">
        <f t="shared" si="3"/>
        <v/>
      </c>
      <c r="M93" s="29">
        <f t="shared" si="4"/>
        <v/>
      </c>
    </row>
    <row r="94">
      <c r="B94" s="32" t="n"/>
      <c r="C94" s="33" t="n"/>
      <c r="D94" s="32" t="n"/>
      <c r="E94" s="34" t="n"/>
      <c r="F94" s="33" t="n"/>
      <c r="G94" s="34" t="n"/>
      <c r="H94" s="33" t="n"/>
      <c r="I94" s="22">
        <f t="shared" si="0"/>
        <v/>
      </c>
      <c r="J94" s="22">
        <f t="shared" si="1"/>
        <v/>
      </c>
      <c r="K94" s="27">
        <f t="shared" si="2"/>
        <v/>
      </c>
      <c r="L94" s="29">
        <f t="shared" si="3"/>
        <v/>
      </c>
      <c r="M94" s="29">
        <f t="shared" si="4"/>
        <v/>
      </c>
    </row>
    <row r="95">
      <c r="B95" s="32" t="n"/>
      <c r="C95" s="33" t="n"/>
      <c r="D95" s="32" t="n"/>
      <c r="E95" s="34" t="n"/>
      <c r="F95" s="33" t="n"/>
      <c r="G95" s="34" t="n"/>
      <c r="H95" s="33" t="n"/>
      <c r="I95" s="22">
        <f t="shared" si="0"/>
        <v/>
      </c>
      <c r="J95" s="22">
        <f t="shared" si="1"/>
        <v/>
      </c>
      <c r="K95" s="27">
        <f t="shared" si="2"/>
        <v/>
      </c>
      <c r="L95" s="29">
        <f t="shared" si="3"/>
        <v/>
      </c>
      <c r="M95" s="29">
        <f t="shared" si="4"/>
        <v/>
      </c>
    </row>
    <row r="96">
      <c r="B96" s="32" t="n"/>
      <c r="C96" s="33" t="n"/>
      <c r="D96" s="32" t="n"/>
      <c r="E96" s="34" t="n"/>
      <c r="F96" s="33" t="n"/>
      <c r="G96" s="34" t="n"/>
      <c r="H96" s="33" t="n"/>
      <c r="I96" s="22">
        <f t="shared" si="0"/>
        <v/>
      </c>
      <c r="J96" s="22">
        <f t="shared" si="1"/>
        <v/>
      </c>
      <c r="K96" s="27">
        <f t="shared" si="2"/>
        <v/>
      </c>
      <c r="L96" s="29">
        <f t="shared" si="3"/>
        <v/>
      </c>
      <c r="M96" s="29">
        <f t="shared" si="4"/>
        <v/>
      </c>
    </row>
    <row r="97">
      <c r="B97" s="32" t="n"/>
      <c r="C97" s="33" t="n"/>
      <c r="D97" s="32" t="n"/>
      <c r="E97" s="34" t="n"/>
      <c r="F97" s="33" t="n"/>
      <c r="G97" s="34" t="n"/>
      <c r="H97" s="33" t="n"/>
      <c r="I97" s="22">
        <f t="shared" si="0"/>
        <v/>
      </c>
      <c r="J97" s="22">
        <f t="shared" si="1"/>
        <v/>
      </c>
      <c r="K97" s="27">
        <f t="shared" si="2"/>
        <v/>
      </c>
      <c r="L97" s="29">
        <f t="shared" si="3"/>
        <v/>
      </c>
      <c r="M97" s="29">
        <f t="shared" si="4"/>
        <v/>
      </c>
    </row>
    <row r="98">
      <c r="B98" s="32" t="n"/>
      <c r="C98" s="33" t="n"/>
      <c r="D98" s="32" t="n"/>
      <c r="E98" s="34" t="n"/>
      <c r="F98" s="33" t="n"/>
      <c r="G98" s="34" t="n"/>
      <c r="H98" s="33" t="n"/>
      <c r="I98" s="22">
        <f t="shared" si="0"/>
        <v/>
      </c>
      <c r="J98" s="22">
        <f t="shared" si="1"/>
        <v/>
      </c>
      <c r="K98" s="27">
        <f t="shared" si="2"/>
        <v/>
      </c>
      <c r="L98" s="29">
        <f t="shared" si="3"/>
        <v/>
      </c>
      <c r="M98" s="29">
        <f t="shared" si="4"/>
        <v/>
      </c>
    </row>
    <row r="99">
      <c r="B99" s="32" t="n"/>
      <c r="C99" s="33" t="n"/>
      <c r="D99" s="32" t="n"/>
      <c r="E99" s="34" t="n"/>
      <c r="F99" s="33" t="n"/>
      <c r="G99" s="34" t="n"/>
      <c r="H99" s="33" t="n"/>
      <c r="I99" s="22">
        <f t="shared" si="0"/>
        <v/>
      </c>
      <c r="J99" s="22">
        <f t="shared" si="1"/>
        <v/>
      </c>
      <c r="K99" s="27">
        <f t="shared" si="2"/>
        <v/>
      </c>
      <c r="L99" s="29">
        <f t="shared" si="3"/>
        <v/>
      </c>
      <c r="M99" s="29">
        <f t="shared" si="4"/>
        <v/>
      </c>
    </row>
    <row r="100">
      <c r="B100" s="32" t="n"/>
      <c r="C100" s="33" t="n"/>
      <c r="D100" s="32" t="n"/>
      <c r="E100" s="34" t="n"/>
      <c r="F100" s="33" t="n"/>
      <c r="G100" s="34" t="n"/>
      <c r="H100" s="33" t="n"/>
      <c r="I100" s="22">
        <f t="shared" si="0"/>
        <v/>
      </c>
      <c r="J100" s="22">
        <f t="shared" si="1"/>
        <v/>
      </c>
      <c r="K100" s="27">
        <f t="shared" si="2"/>
        <v/>
      </c>
      <c r="L100" s="29">
        <f t="shared" si="3"/>
        <v/>
      </c>
      <c r="M100" s="29">
        <f t="shared" si="4"/>
        <v/>
      </c>
    </row>
    <row r="101">
      <c r="B101" s="32" t="n"/>
      <c r="C101" s="33" t="n"/>
      <c r="D101" s="32" t="n"/>
      <c r="E101" s="34" t="n"/>
      <c r="F101" s="33" t="n"/>
      <c r="G101" s="34" t="n"/>
      <c r="H101" s="33" t="n"/>
      <c r="I101" s="22">
        <f t="shared" si="0"/>
        <v/>
      </c>
      <c r="J101" s="22">
        <f t="shared" si="1"/>
        <v/>
      </c>
      <c r="K101" s="27">
        <f t="shared" si="2"/>
        <v/>
      </c>
      <c r="L101" s="29">
        <f t="shared" si="3"/>
        <v/>
      </c>
      <c r="M101" s="29">
        <f t="shared" si="4"/>
        <v/>
      </c>
    </row>
    <row r="102">
      <c r="B102" s="32" t="n"/>
      <c r="C102" s="33" t="n"/>
      <c r="D102" s="32" t="n"/>
      <c r="E102" s="34" t="n"/>
      <c r="F102" s="33" t="n"/>
      <c r="G102" s="34" t="n"/>
      <c r="H102" s="33" t="n"/>
      <c r="I102" s="22">
        <f t="shared" si="0"/>
        <v/>
      </c>
      <c r="J102" s="22">
        <f t="shared" si="1"/>
        <v/>
      </c>
      <c r="K102" s="27">
        <f t="shared" si="2"/>
        <v/>
      </c>
      <c r="L102" s="29">
        <f t="shared" si="3"/>
        <v/>
      </c>
      <c r="M102" s="29">
        <f t="shared" si="4"/>
        <v/>
      </c>
    </row>
    <row r="103">
      <c r="B103" s="32" t="n"/>
      <c r="C103" s="33" t="n"/>
      <c r="D103" s="32" t="n"/>
      <c r="E103" s="34" t="n"/>
      <c r="F103" s="33" t="n"/>
      <c r="G103" s="34" t="n"/>
      <c r="H103" s="33" t="n"/>
      <c r="I103" s="22">
        <f t="shared" si="0"/>
        <v/>
      </c>
      <c r="J103" s="22">
        <f t="shared" si="1"/>
        <v/>
      </c>
      <c r="K103" s="27">
        <f t="shared" si="2"/>
        <v/>
      </c>
      <c r="L103" s="29">
        <f t="shared" si="3"/>
        <v/>
      </c>
      <c r="M103" s="29">
        <f t="shared" si="4"/>
        <v/>
      </c>
    </row>
    <row r="104">
      <c r="B104" s="32" t="n"/>
      <c r="C104" s="33" t="n"/>
      <c r="D104" s="32" t="n"/>
      <c r="E104" s="34" t="n"/>
      <c r="F104" s="33" t="n"/>
      <c r="G104" s="34" t="n"/>
      <c r="H104" s="33" t="n"/>
      <c r="I104" s="22">
        <f t="shared" si="0"/>
        <v/>
      </c>
      <c r="J104" s="22">
        <f t="shared" si="1"/>
        <v/>
      </c>
      <c r="K104" s="27">
        <f t="shared" si="2"/>
        <v/>
      </c>
      <c r="L104" s="29">
        <f t="shared" si="3"/>
        <v/>
      </c>
      <c r="M104" s="29">
        <f t="shared" si="4"/>
        <v/>
      </c>
    </row>
    <row r="105">
      <c r="B105" s="32" t="n"/>
      <c r="C105" s="33" t="n"/>
      <c r="D105" s="32" t="n"/>
      <c r="E105" s="34" t="n"/>
      <c r="F105" s="33" t="n"/>
      <c r="G105" s="34" t="n"/>
      <c r="H105" s="33" t="n"/>
      <c r="I105" s="22">
        <f t="shared" si="0"/>
        <v/>
      </c>
      <c r="J105" s="22">
        <f t="shared" si="1"/>
        <v/>
      </c>
      <c r="K105" s="27">
        <f t="shared" si="2"/>
        <v/>
      </c>
      <c r="L105" s="29">
        <f t="shared" si="3"/>
        <v/>
      </c>
      <c r="M105" s="29">
        <f t="shared" si="4"/>
        <v/>
      </c>
    </row>
    <row r="106">
      <c r="B106" s="32" t="n"/>
      <c r="C106" s="33" t="n"/>
      <c r="D106" s="32" t="n"/>
      <c r="E106" s="34" t="n"/>
      <c r="F106" s="33" t="n"/>
      <c r="G106" s="34" t="n"/>
      <c r="H106" s="33" t="n"/>
      <c r="I106" s="22">
        <f t="shared" si="0"/>
        <v/>
      </c>
      <c r="J106" s="22">
        <f t="shared" si="1"/>
        <v/>
      </c>
      <c r="K106" s="27">
        <f t="shared" si="2"/>
        <v/>
      </c>
      <c r="L106" s="29">
        <f t="shared" si="3"/>
        <v/>
      </c>
      <c r="M106" s="29">
        <f t="shared" si="4"/>
        <v/>
      </c>
    </row>
    <row r="107">
      <c r="B107" s="32" t="n"/>
      <c r="C107" s="33" t="n"/>
      <c r="D107" s="32" t="n"/>
      <c r="E107" s="34" t="n"/>
      <c r="F107" s="33" t="n"/>
      <c r="G107" s="34" t="n"/>
      <c r="H107" s="33" t="n"/>
      <c r="I107" s="22">
        <f t="shared" si="0"/>
        <v/>
      </c>
      <c r="J107" s="22">
        <f t="shared" si="1"/>
        <v/>
      </c>
      <c r="K107" s="27">
        <f t="shared" si="2"/>
        <v/>
      </c>
      <c r="L107" s="29">
        <f t="shared" si="3"/>
        <v/>
      </c>
      <c r="M107" s="29">
        <f t="shared" si="4"/>
        <v/>
      </c>
    </row>
    <row r="108">
      <c r="B108" s="32" t="n"/>
      <c r="C108" s="33" t="n"/>
      <c r="D108" s="32" t="n"/>
      <c r="E108" s="34" t="n"/>
      <c r="F108" s="33" t="n"/>
      <c r="G108" s="34" t="n"/>
      <c r="H108" s="33" t="n"/>
      <c r="I108" s="22">
        <f t="shared" si="0"/>
        <v/>
      </c>
      <c r="J108" s="22">
        <f t="shared" si="1"/>
        <v/>
      </c>
      <c r="K108" s="27">
        <f t="shared" si="2"/>
        <v/>
      </c>
      <c r="L108" s="29">
        <f t="shared" si="3"/>
        <v/>
      </c>
      <c r="M108" s="29">
        <f t="shared" si="4"/>
        <v/>
      </c>
    </row>
    <row r="109">
      <c r="B109" s="32" t="n"/>
      <c r="C109" s="33" t="n"/>
      <c r="D109" s="32" t="n"/>
      <c r="E109" s="34" t="n"/>
      <c r="F109" s="33" t="n"/>
      <c r="G109" s="34" t="n"/>
      <c r="H109" s="33" t="n"/>
      <c r="I109" s="22">
        <f t="shared" si="0"/>
        <v/>
      </c>
      <c r="J109" s="22">
        <f t="shared" si="1"/>
        <v/>
      </c>
      <c r="K109" s="27">
        <f t="shared" si="2"/>
        <v/>
      </c>
      <c r="L109" s="29">
        <f t="shared" si="3"/>
        <v/>
      </c>
      <c r="M109" s="29">
        <f t="shared" si="4"/>
        <v/>
      </c>
    </row>
    <row r="110">
      <c r="B110" s="32" t="n"/>
      <c r="C110" s="33" t="n"/>
      <c r="D110" s="32" t="n"/>
      <c r="E110" s="34" t="n"/>
      <c r="F110" s="33" t="n"/>
      <c r="G110" s="34" t="n"/>
      <c r="H110" s="33" t="n"/>
      <c r="I110" s="22">
        <f t="shared" si="0"/>
        <v/>
      </c>
      <c r="J110" s="22">
        <f t="shared" si="1"/>
        <v/>
      </c>
      <c r="K110" s="27">
        <f t="shared" si="2"/>
        <v/>
      </c>
      <c r="L110" s="29">
        <f t="shared" si="3"/>
        <v/>
      </c>
      <c r="M110" s="29">
        <f t="shared" si="4"/>
        <v/>
      </c>
    </row>
    <row r="111">
      <c r="B111" s="32" t="n"/>
      <c r="C111" s="33" t="n"/>
      <c r="D111" s="32" t="n"/>
      <c r="E111" s="34" t="n"/>
      <c r="F111" s="33" t="n"/>
      <c r="G111" s="34" t="n"/>
      <c r="H111" s="33" t="n"/>
      <c r="I111" s="22">
        <f t="shared" si="0"/>
        <v/>
      </c>
      <c r="J111" s="22">
        <f t="shared" si="1"/>
        <v/>
      </c>
      <c r="K111" s="27">
        <f t="shared" si="2"/>
        <v/>
      </c>
      <c r="L111" s="29">
        <f t="shared" si="3"/>
        <v/>
      </c>
      <c r="M111" s="29">
        <f t="shared" si="4"/>
        <v/>
      </c>
    </row>
    <row r="112">
      <c r="B112" s="32" t="n"/>
      <c r="C112" s="33" t="n"/>
      <c r="D112" s="32" t="n"/>
      <c r="E112" s="34" t="n"/>
      <c r="F112" s="33" t="n"/>
      <c r="G112" s="34" t="n"/>
      <c r="H112" s="33" t="n"/>
      <c r="I112" s="22">
        <f t="shared" si="0"/>
        <v/>
      </c>
      <c r="J112" s="22">
        <f t="shared" si="1"/>
        <v/>
      </c>
      <c r="K112" s="27">
        <f t="shared" si="2"/>
        <v/>
      </c>
      <c r="L112" s="29">
        <f t="shared" si="3"/>
        <v/>
      </c>
      <c r="M112" s="29">
        <f t="shared" si="4"/>
        <v/>
      </c>
    </row>
    <row r="113">
      <c r="B113" s="32" t="n"/>
      <c r="C113" s="33" t="n"/>
      <c r="D113" s="32" t="n"/>
      <c r="E113" s="34" t="n"/>
      <c r="F113" s="33" t="n"/>
      <c r="G113" s="34" t="n"/>
      <c r="H113" s="33" t="n"/>
      <c r="I113" s="22">
        <f t="shared" si="0"/>
        <v/>
      </c>
      <c r="J113" s="22">
        <f t="shared" si="1"/>
        <v/>
      </c>
      <c r="K113" s="27">
        <f t="shared" si="2"/>
        <v/>
      </c>
      <c r="L113" s="29">
        <f t="shared" si="3"/>
        <v/>
      </c>
      <c r="M113" s="29">
        <f t="shared" si="4"/>
        <v/>
      </c>
    </row>
    <row r="114">
      <c r="B114" s="32" t="n"/>
      <c r="C114" s="33" t="n"/>
      <c r="D114" s="32" t="n"/>
      <c r="E114" s="34" t="n"/>
      <c r="F114" s="33" t="n"/>
      <c r="G114" s="34" t="n"/>
      <c r="H114" s="33" t="n"/>
      <c r="I114" s="22">
        <f t="shared" si="0"/>
        <v/>
      </c>
      <c r="J114" s="22">
        <f t="shared" si="1"/>
        <v/>
      </c>
      <c r="K114" s="27">
        <f t="shared" si="2"/>
        <v/>
      </c>
      <c r="L114" s="29">
        <f t="shared" si="3"/>
        <v/>
      </c>
      <c r="M114" s="29">
        <f t="shared" si="4"/>
        <v/>
      </c>
    </row>
    <row r="115">
      <c r="B115" s="32" t="n"/>
      <c r="C115" s="33" t="n"/>
      <c r="D115" s="32" t="n"/>
      <c r="E115" s="34" t="n"/>
      <c r="F115" s="33" t="n"/>
      <c r="G115" s="34" t="n"/>
      <c r="H115" s="33" t="n"/>
      <c r="I115" s="22">
        <f t="shared" si="0"/>
        <v/>
      </c>
      <c r="J115" s="22">
        <f t="shared" si="1"/>
        <v/>
      </c>
      <c r="K115" s="27">
        <f t="shared" si="2"/>
        <v/>
      </c>
      <c r="L115" s="29">
        <f t="shared" si="3"/>
        <v/>
      </c>
      <c r="M115" s="29">
        <f t="shared" si="4"/>
        <v/>
      </c>
    </row>
    <row r="116">
      <c r="B116" s="32" t="n"/>
      <c r="C116" s="33" t="n"/>
      <c r="D116" s="32" t="n"/>
      <c r="E116" s="34" t="n"/>
      <c r="F116" s="33" t="n"/>
      <c r="G116" s="34" t="n"/>
      <c r="H116" s="33" t="n"/>
      <c r="I116" s="22">
        <f t="shared" si="0"/>
        <v/>
      </c>
      <c r="J116" s="22">
        <f t="shared" si="1"/>
        <v/>
      </c>
      <c r="K116" s="27">
        <f t="shared" si="2"/>
        <v/>
      </c>
      <c r="L116" s="29">
        <f t="shared" si="3"/>
        <v/>
      </c>
      <c r="M116" s="29">
        <f t="shared" si="4"/>
        <v/>
      </c>
    </row>
    <row r="117">
      <c r="B117" s="32" t="n"/>
      <c r="C117" s="33" t="n"/>
      <c r="D117" s="32" t="n"/>
      <c r="E117" s="34" t="n"/>
      <c r="F117" s="33" t="n"/>
      <c r="G117" s="34" t="n"/>
      <c r="H117" s="33" t="n"/>
      <c r="I117" s="22">
        <f t="shared" si="0"/>
        <v/>
      </c>
      <c r="J117" s="22">
        <f t="shared" si="1"/>
        <v/>
      </c>
      <c r="K117" s="27">
        <f t="shared" si="2"/>
        <v/>
      </c>
      <c r="L117" s="29">
        <f t="shared" si="3"/>
        <v/>
      </c>
      <c r="M117" s="29">
        <f t="shared" si="4"/>
        <v/>
      </c>
    </row>
    <row r="118">
      <c r="B118" s="32" t="n"/>
      <c r="C118" s="33" t="n"/>
      <c r="D118" s="32" t="n"/>
      <c r="E118" s="34" t="n"/>
      <c r="F118" s="33" t="n"/>
      <c r="G118" s="34" t="n"/>
      <c r="H118" s="33" t="n"/>
      <c r="I118" s="22">
        <f t="shared" si="0"/>
        <v/>
      </c>
      <c r="J118" s="22">
        <f t="shared" si="1"/>
        <v/>
      </c>
      <c r="K118" s="27">
        <f t="shared" si="2"/>
        <v/>
      </c>
      <c r="L118" s="29">
        <f t="shared" si="3"/>
        <v/>
      </c>
      <c r="M118" s="29">
        <f t="shared" si="4"/>
        <v/>
      </c>
    </row>
    <row r="119">
      <c r="B119" s="32" t="n"/>
      <c r="C119" s="33" t="n"/>
      <c r="D119" s="32" t="n"/>
      <c r="E119" s="34" t="n"/>
      <c r="F119" s="33" t="n"/>
      <c r="G119" s="34" t="n"/>
      <c r="H119" s="33" t="n"/>
      <c r="I119" s="22">
        <f t="shared" si="0"/>
        <v/>
      </c>
      <c r="J119" s="22">
        <f t="shared" si="1"/>
        <v/>
      </c>
      <c r="K119" s="27">
        <f t="shared" si="2"/>
        <v/>
      </c>
      <c r="L119" s="29">
        <f t="shared" si="3"/>
        <v/>
      </c>
      <c r="M119" s="29">
        <f t="shared" si="4"/>
        <v/>
      </c>
    </row>
    <row r="120">
      <c r="B120" s="32" t="n"/>
      <c r="C120" s="33" t="n"/>
      <c r="D120" s="32" t="n"/>
      <c r="E120" s="34" t="n"/>
      <c r="F120" s="33" t="n"/>
      <c r="G120" s="34" t="n"/>
      <c r="H120" s="33" t="n"/>
      <c r="I120" s="22">
        <f t="shared" si="0"/>
        <v/>
      </c>
      <c r="J120" s="22">
        <f t="shared" si="1"/>
        <v/>
      </c>
      <c r="K120" s="27">
        <f t="shared" si="2"/>
        <v/>
      </c>
      <c r="L120" s="29">
        <f t="shared" si="3"/>
        <v/>
      </c>
      <c r="M120" s="29">
        <f t="shared" si="4"/>
        <v/>
      </c>
    </row>
    <row r="121">
      <c r="B121" s="32" t="n"/>
      <c r="C121" s="33" t="n"/>
      <c r="D121" s="32" t="n"/>
      <c r="E121" s="34" t="n"/>
      <c r="F121" s="33" t="n"/>
      <c r="G121" s="34" t="n"/>
      <c r="H121" s="33" t="n"/>
      <c r="I121" s="22">
        <f t="shared" si="0"/>
        <v/>
      </c>
      <c r="J121" s="22">
        <f t="shared" si="1"/>
        <v/>
      </c>
      <c r="K121" s="27">
        <f t="shared" si="2"/>
        <v/>
      </c>
      <c r="L121" s="29">
        <f t="shared" si="3"/>
        <v/>
      </c>
      <c r="M121" s="29">
        <f t="shared" si="4"/>
        <v/>
      </c>
    </row>
    <row r="122">
      <c r="B122" s="32" t="n"/>
      <c r="C122" s="33" t="n"/>
      <c r="D122" s="32" t="n"/>
      <c r="E122" s="34" t="n"/>
      <c r="F122" s="33" t="n"/>
      <c r="G122" s="34" t="n"/>
      <c r="H122" s="33" t="n"/>
      <c r="I122" s="22">
        <f t="shared" si="0"/>
        <v/>
      </c>
      <c r="J122" s="22">
        <f t="shared" si="1"/>
        <v/>
      </c>
      <c r="K122" s="27">
        <f t="shared" si="2"/>
        <v/>
      </c>
      <c r="L122" s="29">
        <f t="shared" si="3"/>
        <v/>
      </c>
      <c r="M122" s="29">
        <f t="shared" si="4"/>
        <v/>
      </c>
    </row>
    <row r="123">
      <c r="B123" s="32" t="n"/>
      <c r="C123" s="33" t="n"/>
      <c r="D123" s="32" t="n"/>
      <c r="E123" s="34" t="n"/>
      <c r="F123" s="33" t="n"/>
      <c r="G123" s="34" t="n"/>
      <c r="H123" s="33" t="n"/>
      <c r="I123" s="22">
        <f t="shared" si="0"/>
        <v/>
      </c>
      <c r="J123" s="22">
        <f t="shared" si="1"/>
        <v/>
      </c>
      <c r="K123" s="27">
        <f t="shared" si="2"/>
        <v/>
      </c>
      <c r="L123" s="29">
        <f t="shared" si="3"/>
        <v/>
      </c>
      <c r="M123" s="29">
        <f t="shared" si="4"/>
        <v/>
      </c>
    </row>
    <row r="124">
      <c r="B124" s="32" t="n"/>
      <c r="C124" s="33" t="n"/>
      <c r="D124" s="32" t="n"/>
      <c r="E124" s="34" t="n"/>
      <c r="F124" s="33" t="n"/>
      <c r="G124" s="34" t="n"/>
      <c r="H124" s="33" t="n"/>
      <c r="I124" s="22">
        <f t="shared" si="0"/>
        <v/>
      </c>
      <c r="J124" s="22">
        <f t="shared" si="1"/>
        <v/>
      </c>
      <c r="K124" s="27">
        <f t="shared" si="2"/>
        <v/>
      </c>
      <c r="L124" s="29">
        <f t="shared" si="3"/>
        <v/>
      </c>
      <c r="M124" s="29">
        <f t="shared" si="4"/>
        <v/>
      </c>
    </row>
    <row r="125">
      <c r="B125" s="32" t="n"/>
      <c r="C125" s="33" t="n"/>
      <c r="D125" s="32" t="n"/>
      <c r="E125" s="34" t="n"/>
      <c r="F125" s="33" t="n"/>
      <c r="G125" s="34" t="n"/>
      <c r="H125" s="33" t="n"/>
      <c r="I125" s="22">
        <f t="shared" si="0"/>
        <v/>
      </c>
      <c r="J125" s="22">
        <f t="shared" si="1"/>
        <v/>
      </c>
      <c r="K125" s="27">
        <f t="shared" si="2"/>
        <v/>
      </c>
      <c r="L125" s="29">
        <f t="shared" si="3"/>
        <v/>
      </c>
      <c r="M125" s="29">
        <f t="shared" si="4"/>
        <v/>
      </c>
    </row>
    <row r="126">
      <c r="B126" s="32" t="n"/>
      <c r="C126" s="33" t="n"/>
      <c r="D126" s="32" t="n"/>
      <c r="E126" s="34" t="n"/>
      <c r="F126" s="33" t="n"/>
      <c r="G126" s="34" t="n"/>
      <c r="H126" s="33" t="n"/>
      <c r="I126" s="22">
        <f t="shared" si="0"/>
        <v/>
      </c>
      <c r="J126" s="22">
        <f t="shared" si="1"/>
        <v/>
      </c>
      <c r="K126" s="27">
        <f t="shared" si="2"/>
        <v/>
      </c>
      <c r="L126" s="29">
        <f t="shared" si="3"/>
        <v/>
      </c>
      <c r="M126" s="29">
        <f t="shared" si="4"/>
        <v/>
      </c>
    </row>
    <row r="127">
      <c r="B127" s="32" t="n"/>
      <c r="C127" s="33" t="n"/>
      <c r="D127" s="32" t="n"/>
      <c r="E127" s="34" t="n"/>
      <c r="F127" s="33" t="n"/>
      <c r="G127" s="34" t="n"/>
      <c r="H127" s="33" t="n"/>
      <c r="I127" s="22">
        <f t="shared" si="0"/>
        <v/>
      </c>
      <c r="J127" s="22">
        <f t="shared" si="1"/>
        <v/>
      </c>
      <c r="K127" s="27">
        <f t="shared" si="2"/>
        <v/>
      </c>
      <c r="L127" s="29">
        <f t="shared" si="3"/>
        <v/>
      </c>
      <c r="M127" s="29">
        <f t="shared" si="4"/>
        <v/>
      </c>
    </row>
    <row r="128">
      <c r="B128" s="32" t="n"/>
      <c r="C128" s="33" t="n"/>
      <c r="D128" s="32" t="n"/>
      <c r="E128" s="34" t="n"/>
      <c r="F128" s="33" t="n"/>
      <c r="G128" s="34" t="n"/>
      <c r="H128" s="33" t="n"/>
      <c r="I128" s="22">
        <f t="shared" si="0"/>
        <v/>
      </c>
      <c r="J128" s="22">
        <f t="shared" si="1"/>
        <v/>
      </c>
      <c r="K128" s="27">
        <f t="shared" si="2"/>
        <v/>
      </c>
      <c r="L128" s="29">
        <f t="shared" si="3"/>
        <v/>
      </c>
      <c r="M128" s="29">
        <f t="shared" si="4"/>
        <v/>
      </c>
    </row>
    <row r="129">
      <c r="B129" s="32" t="n"/>
      <c r="C129" s="33" t="n"/>
      <c r="D129" s="32" t="n"/>
      <c r="E129" s="34" t="n"/>
      <c r="F129" s="33" t="n"/>
      <c r="G129" s="34" t="n"/>
      <c r="H129" s="33" t="n"/>
      <c r="I129" s="22">
        <f t="shared" si="0"/>
        <v/>
      </c>
      <c r="J129" s="22">
        <f t="shared" si="1"/>
        <v/>
      </c>
      <c r="K129" s="27">
        <f t="shared" si="2"/>
        <v/>
      </c>
      <c r="L129" s="29">
        <f t="shared" si="3"/>
        <v/>
      </c>
      <c r="M129" s="29">
        <f t="shared" si="4"/>
        <v/>
      </c>
    </row>
    <row r="130">
      <c r="B130" s="32" t="n"/>
      <c r="C130" s="33" t="n"/>
      <c r="D130" s="32" t="n"/>
      <c r="E130" s="34" t="n"/>
      <c r="F130" s="33" t="n"/>
      <c r="G130" s="34" t="n"/>
      <c r="H130" s="33" t="n"/>
      <c r="I130" s="22">
        <f t="shared" si="0"/>
        <v/>
      </c>
      <c r="J130" s="22">
        <f t="shared" si="1"/>
        <v/>
      </c>
      <c r="K130" s="27">
        <f t="shared" si="2"/>
        <v/>
      </c>
      <c r="L130" s="29">
        <f t="shared" si="3"/>
        <v/>
      </c>
      <c r="M130" s="29">
        <f t="shared" si="4"/>
        <v/>
      </c>
    </row>
    <row r="131">
      <c r="B131" s="32" t="n"/>
      <c r="C131" s="33" t="n"/>
      <c r="D131" s="32" t="n"/>
      <c r="E131" s="34" t="n"/>
      <c r="F131" s="33" t="n"/>
      <c r="G131" s="34" t="n"/>
      <c r="H131" s="33" t="n"/>
      <c r="I131" s="22">
        <f t="shared" si="0"/>
        <v/>
      </c>
      <c r="J131" s="22">
        <f t="shared" si="1"/>
        <v/>
      </c>
      <c r="K131" s="27">
        <f t="shared" si="2"/>
        <v/>
      </c>
      <c r="L131" s="29">
        <f t="shared" si="3"/>
        <v/>
      </c>
      <c r="M131" s="29">
        <f t="shared" si="4"/>
        <v/>
      </c>
    </row>
    <row r="132">
      <c r="B132" s="32" t="n"/>
      <c r="C132" s="33" t="n"/>
      <c r="D132" s="32" t="n"/>
      <c r="E132" s="34" t="n"/>
      <c r="F132" s="33" t="n"/>
      <c r="G132" s="34" t="n"/>
      <c r="H132" s="33" t="n"/>
      <c r="I132" s="22">
        <f t="shared" si="0"/>
        <v/>
      </c>
      <c r="J132" s="22">
        <f t="shared" si="1"/>
        <v/>
      </c>
      <c r="K132" s="27">
        <f t="shared" si="2"/>
        <v/>
      </c>
      <c r="L132" s="29">
        <f t="shared" si="3"/>
        <v/>
      </c>
      <c r="M132" s="29">
        <f t="shared" si="4"/>
        <v/>
      </c>
    </row>
    <row r="133">
      <c r="B133" s="32" t="n"/>
      <c r="C133" s="33" t="n"/>
      <c r="D133" s="32" t="n"/>
      <c r="E133" s="34" t="n"/>
      <c r="F133" s="33" t="n"/>
      <c r="G133" s="34" t="n"/>
      <c r="H133" s="33" t="n"/>
      <c r="I133" s="22">
        <f t="shared" si="0"/>
        <v/>
      </c>
      <c r="J133" s="22">
        <f t="shared" si="1"/>
        <v/>
      </c>
      <c r="K133" s="27">
        <f t="shared" si="2"/>
        <v/>
      </c>
      <c r="L133" s="29">
        <f t="shared" si="3"/>
        <v/>
      </c>
      <c r="M133" s="29">
        <f t="shared" si="4"/>
        <v/>
      </c>
    </row>
    <row r="134">
      <c r="B134" s="32" t="n"/>
      <c r="C134" s="33" t="n"/>
      <c r="D134" s="32" t="n"/>
      <c r="E134" s="34" t="n"/>
      <c r="F134" s="33" t="n"/>
      <c r="G134" s="34" t="n"/>
      <c r="H134" s="33" t="n"/>
      <c r="I134" s="22">
        <f t="shared" si="0"/>
        <v/>
      </c>
      <c r="J134" s="22">
        <f t="shared" si="1"/>
        <v/>
      </c>
      <c r="K134" s="27">
        <f t="shared" si="2"/>
        <v/>
      </c>
      <c r="L134" s="29">
        <f t="shared" si="3"/>
        <v/>
      </c>
      <c r="M134" s="29">
        <f t="shared" si="4"/>
        <v/>
      </c>
    </row>
    <row r="135">
      <c r="B135" s="32" t="n"/>
      <c r="C135" s="33" t="n"/>
      <c r="D135" s="32" t="n"/>
      <c r="E135" s="34" t="n"/>
      <c r="F135" s="33" t="n"/>
      <c r="G135" s="34" t="n"/>
      <c r="H135" s="33" t="n"/>
      <c r="I135" s="22">
        <f t="shared" si="0"/>
        <v/>
      </c>
      <c r="J135" s="22">
        <f t="shared" si="1"/>
        <v/>
      </c>
      <c r="K135" s="27">
        <f t="shared" si="2"/>
        <v/>
      </c>
      <c r="L135" s="29">
        <f t="shared" si="3"/>
        <v/>
      </c>
      <c r="M135" s="29">
        <f t="shared" si="4"/>
        <v/>
      </c>
    </row>
    <row r="136">
      <c r="B136" s="32" t="n"/>
      <c r="C136" s="33" t="n"/>
      <c r="D136" s="32" t="n"/>
      <c r="E136" s="34" t="n"/>
      <c r="F136" s="33" t="n"/>
      <c r="G136" s="34" t="n"/>
      <c r="H136" s="33" t="n"/>
      <c r="I136" s="22">
        <f t="shared" si="0"/>
        <v/>
      </c>
      <c r="J136" s="22">
        <f t="shared" si="1"/>
        <v/>
      </c>
      <c r="K136" s="27">
        <f t="shared" si="2"/>
        <v/>
      </c>
      <c r="L136" s="29">
        <f t="shared" si="3"/>
        <v/>
      </c>
      <c r="M136" s="29">
        <f t="shared" si="4"/>
        <v/>
      </c>
    </row>
    <row r="137">
      <c r="B137" s="32" t="n"/>
      <c r="C137" s="33" t="n"/>
      <c r="D137" s="32" t="n"/>
      <c r="E137" s="34" t="n"/>
      <c r="F137" s="33" t="n"/>
      <c r="G137" s="34" t="n"/>
      <c r="H137" s="33" t="n"/>
      <c r="I137" s="22">
        <f t="shared" si="0"/>
        <v/>
      </c>
      <c r="J137" s="22">
        <f t="shared" si="1"/>
        <v/>
      </c>
      <c r="K137" s="27">
        <f t="shared" si="2"/>
        <v/>
      </c>
      <c r="L137" s="29">
        <f t="shared" si="3"/>
        <v/>
      </c>
      <c r="M137" s="29">
        <f t="shared" si="4"/>
        <v/>
      </c>
    </row>
    <row r="138">
      <c r="B138" s="32" t="n"/>
      <c r="C138" s="33" t="n"/>
      <c r="D138" s="32" t="n"/>
      <c r="E138" s="34" t="n"/>
      <c r="F138" s="33" t="n"/>
      <c r="G138" s="34" t="n"/>
      <c r="H138" s="33" t="n"/>
      <c r="I138" s="22">
        <f t="shared" si="0"/>
        <v/>
      </c>
      <c r="J138" s="22">
        <f t="shared" si="1"/>
        <v/>
      </c>
      <c r="K138" s="27">
        <f t="shared" si="2"/>
        <v/>
      </c>
      <c r="L138" s="29">
        <f t="shared" si="3"/>
        <v/>
      </c>
      <c r="M138" s="29">
        <f t="shared" si="4"/>
        <v/>
      </c>
    </row>
    <row r="139">
      <c r="B139" s="32" t="n"/>
      <c r="C139" s="33" t="n"/>
      <c r="D139" s="32" t="n"/>
      <c r="E139" s="34" t="n"/>
      <c r="F139" s="33" t="n"/>
      <c r="G139" s="34" t="n"/>
      <c r="H139" s="33" t="n"/>
      <c r="I139" s="22">
        <f t="shared" si="0"/>
        <v/>
      </c>
      <c r="J139" s="22">
        <f t="shared" si="1"/>
        <v/>
      </c>
      <c r="K139" s="27">
        <f t="shared" si="2"/>
        <v/>
      </c>
      <c r="L139" s="29">
        <f t="shared" si="3"/>
        <v/>
      </c>
      <c r="M139" s="29">
        <f t="shared" si="4"/>
        <v/>
      </c>
    </row>
    <row r="140">
      <c r="B140" s="32" t="n"/>
      <c r="C140" s="33" t="n"/>
      <c r="D140" s="32" t="n"/>
      <c r="E140" s="34" t="n"/>
      <c r="F140" s="33" t="n"/>
      <c r="G140" s="34" t="n"/>
      <c r="H140" s="33" t="n"/>
      <c r="I140" s="22">
        <f t="shared" si="0"/>
        <v/>
      </c>
      <c r="J140" s="22">
        <f t="shared" si="1"/>
        <v/>
      </c>
      <c r="K140" s="27">
        <f t="shared" si="2"/>
        <v/>
      </c>
      <c r="L140" s="29">
        <f t="shared" si="3"/>
        <v/>
      </c>
      <c r="M140" s="29">
        <f t="shared" si="4"/>
        <v/>
      </c>
    </row>
    <row r="141">
      <c r="B141" s="32" t="n"/>
      <c r="C141" s="33" t="n"/>
      <c r="D141" s="32" t="n"/>
      <c r="E141" s="34" t="n"/>
      <c r="F141" s="33" t="n"/>
      <c r="G141" s="34" t="n"/>
      <c r="H141" s="33" t="n"/>
      <c r="I141" s="22">
        <f t="shared" si="0"/>
        <v/>
      </c>
      <c r="J141" s="22">
        <f t="shared" si="1"/>
        <v/>
      </c>
      <c r="K141" s="27">
        <f t="shared" si="2"/>
        <v/>
      </c>
      <c r="L141" s="29">
        <f t="shared" si="3"/>
        <v/>
      </c>
      <c r="M141" s="29">
        <f t="shared" si="4"/>
        <v/>
      </c>
    </row>
    <row r="142">
      <c r="B142" s="32" t="n"/>
      <c r="C142" s="33" t="n"/>
      <c r="D142" s="32" t="n"/>
      <c r="E142" s="34" t="n"/>
      <c r="F142" s="33" t="n"/>
      <c r="G142" s="34" t="n"/>
      <c r="H142" s="33" t="n"/>
      <c r="I142" s="22">
        <f t="shared" si="0"/>
        <v/>
      </c>
      <c r="J142" s="22">
        <f t="shared" si="1"/>
        <v/>
      </c>
      <c r="K142" s="27">
        <f t="shared" si="2"/>
        <v/>
      </c>
      <c r="L142" s="29">
        <f t="shared" si="3"/>
        <v/>
      </c>
      <c r="M142" s="29">
        <f t="shared" si="4"/>
        <v/>
      </c>
    </row>
    <row r="143">
      <c r="B143" s="32" t="n"/>
      <c r="C143" s="33" t="n"/>
      <c r="D143" s="32" t="n"/>
      <c r="E143" s="34" t="n"/>
      <c r="F143" s="33" t="n"/>
      <c r="G143" s="34" t="n"/>
      <c r="H143" s="33" t="n"/>
      <c r="I143" s="22">
        <f t="shared" si="0"/>
        <v/>
      </c>
      <c r="J143" s="22">
        <f t="shared" si="1"/>
        <v/>
      </c>
      <c r="K143" s="27">
        <f t="shared" si="2"/>
        <v/>
      </c>
      <c r="L143" s="29">
        <f t="shared" si="3"/>
        <v/>
      </c>
      <c r="M143" s="29">
        <f t="shared" si="4"/>
        <v/>
      </c>
    </row>
    <row r="144">
      <c r="B144" s="32" t="n"/>
      <c r="C144" s="33" t="n"/>
      <c r="D144" s="32" t="n"/>
      <c r="E144" s="34" t="n"/>
      <c r="F144" s="33" t="n"/>
      <c r="G144" s="34" t="n"/>
      <c r="H144" s="33" t="n"/>
      <c r="I144" s="22">
        <f t="shared" si="0"/>
        <v/>
      </c>
      <c r="J144" s="22">
        <f t="shared" si="1"/>
        <v/>
      </c>
      <c r="K144" s="27">
        <f t="shared" si="2"/>
        <v/>
      </c>
      <c r="L144" s="29">
        <f t="shared" si="3"/>
        <v/>
      </c>
      <c r="M144" s="29">
        <f t="shared" si="4"/>
        <v/>
      </c>
    </row>
    <row r="145">
      <c r="B145" s="32" t="n"/>
      <c r="C145" s="33" t="n"/>
      <c r="D145" s="32" t="n"/>
      <c r="E145" s="34" t="n"/>
      <c r="F145" s="33" t="n"/>
      <c r="G145" s="34" t="n"/>
      <c r="H145" s="33" t="n"/>
      <c r="I145" s="22">
        <f t="shared" si="0"/>
        <v/>
      </c>
      <c r="J145" s="22">
        <f t="shared" si="1"/>
        <v/>
      </c>
      <c r="K145" s="27">
        <f t="shared" si="2"/>
        <v/>
      </c>
      <c r="L145" s="29">
        <f t="shared" si="3"/>
        <v/>
      </c>
      <c r="M145" s="29">
        <f t="shared" si="4"/>
        <v/>
      </c>
    </row>
    <row r="146">
      <c r="B146" s="32" t="n"/>
      <c r="C146" s="33" t="n"/>
      <c r="D146" s="32" t="n"/>
      <c r="E146" s="34" t="n"/>
      <c r="F146" s="33" t="n"/>
      <c r="G146" s="34" t="n"/>
      <c r="H146" s="33" t="n"/>
      <c r="I146" s="22">
        <f t="shared" si="0"/>
        <v/>
      </c>
      <c r="J146" s="22">
        <f t="shared" si="1"/>
        <v/>
      </c>
      <c r="K146" s="27">
        <f t="shared" si="2"/>
        <v/>
      </c>
      <c r="L146" s="29">
        <f t="shared" si="3"/>
        <v/>
      </c>
      <c r="M146" s="29">
        <f t="shared" si="4"/>
        <v/>
      </c>
    </row>
    <row r="147">
      <c r="B147" s="32" t="n"/>
      <c r="C147" s="33" t="n"/>
      <c r="D147" s="32" t="n"/>
      <c r="E147" s="34" t="n"/>
      <c r="F147" s="33" t="n"/>
      <c r="G147" s="34" t="n"/>
      <c r="H147" s="33" t="n"/>
      <c r="I147" s="22">
        <f t="shared" si="0"/>
        <v/>
      </c>
      <c r="J147" s="22">
        <f t="shared" si="1"/>
        <v/>
      </c>
      <c r="K147" s="27">
        <f t="shared" si="2"/>
        <v/>
      </c>
      <c r="L147" s="29">
        <f t="shared" si="3"/>
        <v/>
      </c>
      <c r="M147" s="29">
        <f t="shared" si="4"/>
        <v/>
      </c>
    </row>
    <row r="148">
      <c r="B148" s="32" t="n"/>
      <c r="C148" s="33" t="n"/>
      <c r="D148" s="32" t="n"/>
      <c r="E148" s="34" t="n"/>
      <c r="F148" s="33" t="n"/>
      <c r="G148" s="34" t="n"/>
      <c r="H148" s="33" t="n"/>
      <c r="I148" s="22">
        <f t="shared" si="0"/>
        <v/>
      </c>
      <c r="J148" s="22">
        <f t="shared" si="1"/>
        <v/>
      </c>
      <c r="K148" s="27">
        <f t="shared" si="2"/>
        <v/>
      </c>
      <c r="L148" s="29">
        <f t="shared" si="3"/>
        <v/>
      </c>
      <c r="M148" s="29">
        <f t="shared" si="4"/>
        <v/>
      </c>
    </row>
    <row r="149">
      <c r="B149" s="32" t="n"/>
      <c r="C149" s="33" t="n"/>
      <c r="D149" s="32" t="n"/>
      <c r="E149" s="34" t="n"/>
      <c r="F149" s="33" t="n"/>
      <c r="G149" s="34" t="n"/>
      <c r="H149" s="33" t="n"/>
      <c r="I149" s="22">
        <f t="shared" si="0"/>
        <v/>
      </c>
      <c r="J149" s="22">
        <f t="shared" si="1"/>
        <v/>
      </c>
      <c r="K149" s="27">
        <f t="shared" si="2"/>
        <v/>
      </c>
      <c r="L149" s="29">
        <f t="shared" si="3"/>
        <v/>
      </c>
      <c r="M149" s="29">
        <f t="shared" si="4"/>
        <v/>
      </c>
    </row>
    <row r="150">
      <c r="B150" s="32" t="n"/>
      <c r="C150" s="33" t="n"/>
      <c r="D150" s="32" t="n"/>
      <c r="E150" s="34" t="n"/>
      <c r="F150" s="33" t="n"/>
      <c r="G150" s="34" t="n"/>
      <c r="H150" s="33" t="n"/>
      <c r="I150" s="22">
        <f t="shared" si="0"/>
        <v/>
      </c>
      <c r="J150" s="22">
        <f t="shared" si="1"/>
        <v/>
      </c>
      <c r="K150" s="27">
        <f t="shared" si="2"/>
        <v/>
      </c>
      <c r="L150" s="29">
        <f t="shared" si="3"/>
        <v/>
      </c>
      <c r="M150" s="29">
        <f t="shared" si="4"/>
        <v/>
      </c>
    </row>
    <row r="151">
      <c r="B151" s="32" t="n"/>
      <c r="C151" s="33" t="n"/>
      <c r="D151" s="32" t="n"/>
      <c r="E151" s="34" t="n"/>
      <c r="F151" s="33" t="n"/>
      <c r="G151" s="34" t="n"/>
      <c r="H151" s="33" t="n"/>
      <c r="I151" s="22">
        <f t="shared" si="0"/>
        <v/>
      </c>
      <c r="J151" s="22">
        <f t="shared" si="1"/>
        <v/>
      </c>
      <c r="K151" s="27">
        <f t="shared" si="2"/>
        <v/>
      </c>
      <c r="L151" s="29">
        <f t="shared" si="3"/>
        <v/>
      </c>
      <c r="M151" s="29">
        <f t="shared" si="4"/>
        <v/>
      </c>
    </row>
    <row r="152">
      <c r="B152" s="32" t="n"/>
      <c r="C152" s="33" t="n"/>
      <c r="D152" s="32" t="n"/>
      <c r="E152" s="34" t="n"/>
      <c r="F152" s="33" t="n"/>
      <c r="G152" s="34" t="n"/>
      <c r="H152" s="33" t="n"/>
      <c r="I152" s="22">
        <f t="shared" si="0"/>
        <v/>
      </c>
      <c r="J152" s="22">
        <f t="shared" si="1"/>
        <v/>
      </c>
      <c r="K152" s="27">
        <f t="shared" si="2"/>
        <v/>
      </c>
      <c r="L152" s="29">
        <f t="shared" si="3"/>
        <v/>
      </c>
      <c r="M152" s="29">
        <f t="shared" si="4"/>
        <v/>
      </c>
    </row>
    <row r="153">
      <c r="B153" s="32" t="n"/>
      <c r="C153" s="33" t="n"/>
      <c r="D153" s="32" t="n"/>
      <c r="E153" s="34" t="n"/>
      <c r="F153" s="33" t="n"/>
      <c r="G153" s="34" t="n"/>
      <c r="H153" s="33" t="n"/>
      <c r="I153" s="22">
        <f t="shared" si="0"/>
        <v/>
      </c>
      <c r="J153" s="22">
        <f t="shared" si="1"/>
        <v/>
      </c>
      <c r="K153" s="27">
        <f t="shared" si="2"/>
        <v/>
      </c>
      <c r="L153" s="29">
        <f t="shared" si="3"/>
        <v/>
      </c>
      <c r="M153" s="29">
        <f t="shared" si="4"/>
        <v/>
      </c>
    </row>
    <row r="154">
      <c r="B154" s="32" t="n"/>
      <c r="C154" s="33" t="n"/>
      <c r="D154" s="32" t="n"/>
      <c r="E154" s="34" t="n"/>
      <c r="F154" s="33" t="n"/>
      <c r="G154" s="34" t="n"/>
      <c r="H154" s="33" t="n"/>
      <c r="I154" s="22">
        <f t="shared" si="0"/>
        <v/>
      </c>
      <c r="J154" s="22">
        <f t="shared" si="1"/>
        <v/>
      </c>
      <c r="K154" s="27">
        <f t="shared" si="2"/>
        <v/>
      </c>
      <c r="L154" s="29">
        <f t="shared" si="3"/>
        <v/>
      </c>
      <c r="M154" s="29">
        <f t="shared" si="4"/>
        <v/>
      </c>
    </row>
    <row r="155">
      <c r="B155" s="32" t="n"/>
      <c r="C155" s="33" t="n"/>
      <c r="D155" s="32" t="n"/>
      <c r="E155" s="34" t="n"/>
      <c r="F155" s="33" t="n"/>
      <c r="G155" s="34" t="n"/>
      <c r="H155" s="33" t="n"/>
      <c r="I155" s="22">
        <f t="shared" si="0"/>
        <v/>
      </c>
      <c r="J155" s="22">
        <f t="shared" si="1"/>
        <v/>
      </c>
      <c r="K155" s="27">
        <f t="shared" si="2"/>
        <v/>
      </c>
      <c r="L155" s="29">
        <f t="shared" si="3"/>
        <v/>
      </c>
      <c r="M155" s="29">
        <f t="shared" si="4"/>
        <v/>
      </c>
    </row>
    <row r="156">
      <c r="B156" s="32" t="n"/>
      <c r="C156" s="33" t="n"/>
      <c r="D156" s="32" t="n"/>
      <c r="E156" s="34" t="n"/>
      <c r="F156" s="33" t="n"/>
      <c r="G156" s="34" t="n"/>
      <c r="H156" s="33" t="n"/>
      <c r="I156" s="22">
        <f t="shared" si="0"/>
        <v/>
      </c>
      <c r="J156" s="22">
        <f t="shared" si="1"/>
        <v/>
      </c>
      <c r="K156" s="27">
        <f t="shared" si="2"/>
        <v/>
      </c>
      <c r="L156" s="29">
        <f t="shared" si="3"/>
        <v/>
      </c>
      <c r="M156" s="29">
        <f t="shared" si="4"/>
        <v/>
      </c>
    </row>
    <row r="157">
      <c r="B157" s="32" t="n"/>
      <c r="C157" s="33" t="n"/>
      <c r="D157" s="32" t="n"/>
      <c r="E157" s="34" t="n"/>
      <c r="F157" s="33" t="n"/>
      <c r="G157" s="34" t="n"/>
      <c r="H157" s="33" t="n"/>
      <c r="I157" s="22">
        <f t="shared" si="0"/>
        <v/>
      </c>
      <c r="J157" s="22">
        <f t="shared" si="1"/>
        <v/>
      </c>
      <c r="K157" s="27">
        <f t="shared" si="2"/>
        <v/>
      </c>
      <c r="L157" s="29">
        <f t="shared" si="3"/>
        <v/>
      </c>
      <c r="M157" s="29">
        <f t="shared" si="4"/>
        <v/>
      </c>
    </row>
    <row r="158">
      <c r="B158" s="32" t="n"/>
      <c r="C158" s="33" t="n"/>
      <c r="D158" s="32" t="n"/>
      <c r="E158" s="34" t="n"/>
      <c r="F158" s="33" t="n"/>
      <c r="G158" s="34" t="n"/>
      <c r="H158" s="33" t="n"/>
      <c r="I158" s="22">
        <f t="shared" si="0"/>
        <v/>
      </c>
      <c r="J158" s="22">
        <f t="shared" si="1"/>
        <v/>
      </c>
      <c r="K158" s="27">
        <f t="shared" si="2"/>
        <v/>
      </c>
      <c r="L158" s="29">
        <f t="shared" si="3"/>
        <v/>
      </c>
      <c r="M158" s="29">
        <f t="shared" si="4"/>
        <v/>
      </c>
    </row>
    <row r="159">
      <c r="B159" s="32" t="n"/>
      <c r="C159" s="33" t="n"/>
      <c r="D159" s="32" t="n"/>
      <c r="E159" s="34" t="n"/>
      <c r="F159" s="33" t="n"/>
      <c r="G159" s="34" t="n"/>
      <c r="H159" s="33" t="n"/>
      <c r="I159" s="22">
        <f t="shared" si="0"/>
        <v/>
      </c>
      <c r="J159" s="22">
        <f t="shared" si="1"/>
        <v/>
      </c>
      <c r="K159" s="27">
        <f t="shared" si="2"/>
        <v/>
      </c>
      <c r="L159" s="29">
        <f t="shared" si="3"/>
        <v/>
      </c>
      <c r="M159" s="29">
        <f t="shared" si="4"/>
        <v/>
      </c>
    </row>
    <row r="160">
      <c r="B160" s="32" t="n"/>
      <c r="C160" s="33" t="n"/>
      <c r="D160" s="32" t="n"/>
      <c r="E160" s="34" t="n"/>
      <c r="F160" s="33" t="n"/>
      <c r="G160" s="34" t="n"/>
      <c r="H160" s="33" t="n"/>
      <c r="I160" s="22">
        <f t="shared" si="0"/>
        <v/>
      </c>
      <c r="J160" s="22">
        <f t="shared" si="1"/>
        <v/>
      </c>
      <c r="K160" s="27">
        <f t="shared" si="2"/>
        <v/>
      </c>
      <c r="L160" s="29">
        <f t="shared" si="3"/>
        <v/>
      </c>
      <c r="M160" s="29">
        <f t="shared" si="4"/>
        <v/>
      </c>
    </row>
    <row r="161">
      <c r="B161" s="32" t="n"/>
      <c r="C161" s="33" t="n"/>
      <c r="D161" s="32" t="n"/>
      <c r="E161" s="34" t="n"/>
      <c r="F161" s="33" t="n"/>
      <c r="G161" s="34" t="n"/>
      <c r="H161" s="33" t="n"/>
      <c r="I161" s="22">
        <f t="shared" si="0"/>
        <v/>
      </c>
      <c r="J161" s="22">
        <f t="shared" si="1"/>
        <v/>
      </c>
      <c r="K161" s="27">
        <f t="shared" si="2"/>
        <v/>
      </c>
      <c r="L161" s="29">
        <f t="shared" si="3"/>
        <v/>
      </c>
      <c r="M161" s="29">
        <f t="shared" si="4"/>
        <v/>
      </c>
    </row>
    <row r="162">
      <c r="B162" s="32" t="n"/>
      <c r="C162" s="33" t="n"/>
      <c r="D162" s="32" t="n"/>
      <c r="E162" s="34" t="n"/>
      <c r="F162" s="33" t="n"/>
      <c r="G162" s="34" t="n"/>
      <c r="H162" s="33" t="n"/>
      <c r="I162" s="22">
        <f t="shared" si="0"/>
        <v/>
      </c>
      <c r="J162" s="22">
        <f t="shared" si="1"/>
        <v/>
      </c>
      <c r="K162" s="27">
        <f t="shared" si="2"/>
        <v/>
      </c>
      <c r="L162" s="29">
        <f t="shared" si="3"/>
        <v/>
      </c>
      <c r="M162" s="29">
        <f t="shared" si="4"/>
        <v/>
      </c>
    </row>
    <row r="163">
      <c r="B163" s="32" t="n"/>
      <c r="C163" s="33" t="n"/>
      <c r="D163" s="32" t="n"/>
      <c r="E163" s="34" t="n"/>
      <c r="F163" s="33" t="n"/>
      <c r="G163" s="34" t="n"/>
      <c r="H163" s="33" t="n"/>
      <c r="I163" s="22">
        <f t="shared" si="0"/>
        <v/>
      </c>
      <c r="J163" s="22">
        <f t="shared" si="1"/>
        <v/>
      </c>
      <c r="K163" s="27">
        <f t="shared" si="2"/>
        <v/>
      </c>
      <c r="L163" s="29">
        <f t="shared" si="3"/>
        <v/>
      </c>
      <c r="M163" s="29">
        <f t="shared" si="4"/>
        <v/>
      </c>
    </row>
    <row r="164">
      <c r="B164" s="32" t="n"/>
      <c r="C164" s="33" t="n"/>
      <c r="D164" s="32" t="n"/>
      <c r="E164" s="34" t="n"/>
      <c r="F164" s="33" t="n"/>
      <c r="G164" s="34" t="n"/>
      <c r="H164" s="33" t="n"/>
      <c r="I164" s="22">
        <f t="shared" si="0"/>
        <v/>
      </c>
      <c r="J164" s="22">
        <f t="shared" si="1"/>
        <v/>
      </c>
      <c r="K164" s="27">
        <f t="shared" si="2"/>
        <v/>
      </c>
      <c r="L164" s="29">
        <f t="shared" si="3"/>
        <v/>
      </c>
      <c r="M164" s="29">
        <f t="shared" si="4"/>
        <v/>
      </c>
    </row>
    <row r="165">
      <c r="B165" s="32" t="n"/>
      <c r="C165" s="33" t="n"/>
      <c r="D165" s="32" t="n"/>
      <c r="E165" s="34" t="n"/>
      <c r="F165" s="33" t="n"/>
      <c r="G165" s="34" t="n"/>
      <c r="H165" s="33" t="n"/>
      <c r="I165" s="22">
        <f t="shared" si="0"/>
        <v/>
      </c>
      <c r="J165" s="22">
        <f t="shared" si="1"/>
        <v/>
      </c>
      <c r="K165" s="27">
        <f t="shared" si="2"/>
        <v/>
      </c>
      <c r="L165" s="29">
        <f t="shared" si="3"/>
        <v/>
      </c>
      <c r="M165" s="29">
        <f t="shared" si="4"/>
        <v/>
      </c>
    </row>
    <row r="166">
      <c r="B166" s="32" t="n"/>
      <c r="C166" s="33" t="n"/>
      <c r="D166" s="32" t="n"/>
      <c r="E166" s="34" t="n"/>
      <c r="F166" s="33" t="n"/>
      <c r="G166" s="34" t="n"/>
      <c r="H166" s="33" t="n"/>
      <c r="I166" s="22">
        <f t="shared" si="0"/>
        <v/>
      </c>
      <c r="J166" s="22">
        <f t="shared" si="1"/>
        <v/>
      </c>
      <c r="K166" s="27">
        <f t="shared" si="2"/>
        <v/>
      </c>
      <c r="L166" s="29">
        <f t="shared" si="3"/>
        <v/>
      </c>
      <c r="M166" s="29">
        <f t="shared" si="4"/>
        <v/>
      </c>
    </row>
    <row r="167">
      <c r="B167" s="32" t="n"/>
      <c r="C167" s="33" t="n"/>
      <c r="D167" s="32" t="n"/>
      <c r="E167" s="34" t="n"/>
      <c r="F167" s="33" t="n"/>
      <c r="G167" s="34" t="n"/>
      <c r="H167" s="33" t="n"/>
      <c r="I167" s="22">
        <f t="shared" si="0"/>
        <v/>
      </c>
      <c r="J167" s="22">
        <f t="shared" si="1"/>
        <v/>
      </c>
      <c r="K167" s="27">
        <f t="shared" si="2"/>
        <v/>
      </c>
      <c r="L167" s="29">
        <f t="shared" si="3"/>
        <v/>
      </c>
      <c r="M167" s="29">
        <f t="shared" si="4"/>
        <v/>
      </c>
    </row>
    <row r="168">
      <c r="B168" s="32" t="n"/>
      <c r="C168" s="33" t="n"/>
      <c r="D168" s="32" t="n"/>
      <c r="E168" s="34" t="n"/>
      <c r="F168" s="33" t="n"/>
      <c r="G168" s="34" t="n"/>
      <c r="H168" s="33" t="n"/>
      <c r="I168" s="22">
        <f t="shared" si="0"/>
        <v/>
      </c>
      <c r="J168" s="22">
        <f t="shared" si="1"/>
        <v/>
      </c>
      <c r="K168" s="27">
        <f t="shared" si="2"/>
        <v/>
      </c>
      <c r="L168" s="29">
        <f t="shared" si="3"/>
        <v/>
      </c>
      <c r="M168" s="29">
        <f t="shared" si="4"/>
        <v/>
      </c>
    </row>
    <row r="169">
      <c r="B169" s="32" t="n"/>
      <c r="C169" s="33" t="n"/>
      <c r="D169" s="32" t="n"/>
      <c r="E169" s="34" t="n"/>
      <c r="F169" s="33" t="n"/>
      <c r="G169" s="34" t="n"/>
      <c r="H169" s="33" t="n"/>
      <c r="I169" s="22">
        <f t="shared" si="0"/>
        <v/>
      </c>
      <c r="J169" s="22">
        <f t="shared" si="1"/>
        <v/>
      </c>
      <c r="K169" s="27">
        <f t="shared" si="2"/>
        <v/>
      </c>
      <c r="L169" s="29">
        <f t="shared" si="3"/>
        <v/>
      </c>
      <c r="M169" s="29">
        <f t="shared" si="4"/>
        <v/>
      </c>
    </row>
    <row r="170">
      <c r="B170" s="32" t="n"/>
      <c r="C170" s="33" t="n"/>
      <c r="D170" s="32" t="n"/>
      <c r="E170" s="34" t="n"/>
      <c r="F170" s="33" t="n"/>
      <c r="G170" s="34" t="n"/>
      <c r="H170" s="33" t="n"/>
      <c r="I170" s="22">
        <f t="shared" si="0"/>
        <v/>
      </c>
      <c r="J170" s="22">
        <f t="shared" si="1"/>
        <v/>
      </c>
      <c r="K170" s="27">
        <f t="shared" si="2"/>
        <v/>
      </c>
      <c r="L170" s="29">
        <f t="shared" si="3"/>
        <v/>
      </c>
      <c r="M170" s="29">
        <f t="shared" si="4"/>
        <v/>
      </c>
    </row>
    <row r="171">
      <c r="B171" s="32" t="n"/>
      <c r="C171" s="33" t="n"/>
      <c r="D171" s="32" t="n"/>
      <c r="E171" s="34" t="n"/>
      <c r="F171" s="33" t="n"/>
      <c r="G171" s="34" t="n"/>
      <c r="H171" s="33" t="n"/>
      <c r="I171" s="22">
        <f t="shared" si="0"/>
        <v/>
      </c>
      <c r="J171" s="22">
        <f t="shared" si="1"/>
        <v/>
      </c>
      <c r="K171" s="27">
        <f t="shared" si="2"/>
        <v/>
      </c>
      <c r="L171" s="29">
        <f t="shared" si="3"/>
        <v/>
      </c>
      <c r="M171" s="29">
        <f t="shared" si="4"/>
        <v/>
      </c>
    </row>
    <row r="172">
      <c r="B172" s="32" t="n"/>
      <c r="C172" s="33" t="n"/>
      <c r="D172" s="32" t="n"/>
      <c r="E172" s="34" t="n"/>
      <c r="F172" s="33" t="n"/>
      <c r="G172" s="34" t="n"/>
      <c r="H172" s="33" t="n"/>
      <c r="I172" s="22">
        <f t="shared" si="0"/>
        <v/>
      </c>
      <c r="J172" s="22">
        <f t="shared" si="1"/>
        <v/>
      </c>
      <c r="K172" s="27">
        <f t="shared" si="2"/>
        <v/>
      </c>
      <c r="L172" s="29">
        <f t="shared" si="3"/>
        <v/>
      </c>
      <c r="M172" s="29">
        <f t="shared" si="4"/>
        <v/>
      </c>
    </row>
    <row r="173">
      <c r="B173" s="32" t="n"/>
      <c r="C173" s="33" t="n"/>
      <c r="D173" s="32" t="n"/>
      <c r="E173" s="34" t="n"/>
      <c r="F173" s="33" t="n"/>
      <c r="G173" s="34" t="n"/>
      <c r="H173" s="33" t="n"/>
      <c r="I173" s="22">
        <f t="shared" si="0"/>
        <v/>
      </c>
      <c r="J173" s="22">
        <f t="shared" si="1"/>
        <v/>
      </c>
      <c r="K173" s="27">
        <f t="shared" si="2"/>
        <v/>
      </c>
      <c r="L173" s="29">
        <f t="shared" si="3"/>
        <v/>
      </c>
      <c r="M173" s="29">
        <f t="shared" si="4"/>
        <v/>
      </c>
    </row>
    <row r="174">
      <c r="B174" s="32" t="n"/>
      <c r="C174" s="33" t="n"/>
      <c r="D174" s="32" t="n"/>
      <c r="E174" s="34" t="n"/>
      <c r="F174" s="33" t="n"/>
      <c r="G174" s="34" t="n"/>
      <c r="H174" s="33" t="n"/>
      <c r="I174" s="22">
        <f t="shared" si="0"/>
        <v/>
      </c>
      <c r="J174" s="22">
        <f t="shared" si="1"/>
        <v/>
      </c>
      <c r="K174" s="27">
        <f t="shared" si="2"/>
        <v/>
      </c>
      <c r="L174" s="29">
        <f t="shared" si="3"/>
        <v/>
      </c>
      <c r="M174" s="29">
        <f t="shared" si="4"/>
        <v/>
      </c>
    </row>
    <row r="175">
      <c r="B175" s="32" t="n"/>
      <c r="C175" s="33" t="n"/>
      <c r="D175" s="32" t="n"/>
      <c r="E175" s="34" t="n"/>
      <c r="F175" s="33" t="n"/>
      <c r="G175" s="34" t="n"/>
      <c r="H175" s="33" t="n"/>
      <c r="I175" s="22">
        <f t="shared" si="0"/>
        <v/>
      </c>
      <c r="J175" s="22">
        <f t="shared" si="1"/>
        <v/>
      </c>
      <c r="K175" s="27">
        <f t="shared" si="2"/>
        <v/>
      </c>
      <c r="L175" s="29">
        <f t="shared" si="3"/>
        <v/>
      </c>
      <c r="M175" s="29">
        <f t="shared" si="4"/>
        <v/>
      </c>
    </row>
    <row r="176">
      <c r="B176" s="32" t="n"/>
      <c r="C176" s="33" t="n"/>
      <c r="D176" s="32" t="n"/>
      <c r="E176" s="34" t="n"/>
      <c r="F176" s="33" t="n"/>
      <c r="G176" s="34" t="n"/>
      <c r="H176" s="33" t="n"/>
      <c r="I176" s="22">
        <f t="shared" si="0"/>
        <v/>
      </c>
      <c r="J176" s="22">
        <f t="shared" si="1"/>
        <v/>
      </c>
      <c r="K176" s="27">
        <f t="shared" si="2"/>
        <v/>
      </c>
      <c r="L176" s="29">
        <f t="shared" si="3"/>
        <v/>
      </c>
      <c r="M176" s="29">
        <f t="shared" si="4"/>
        <v/>
      </c>
    </row>
    <row r="177">
      <c r="B177" s="32" t="n"/>
      <c r="C177" s="33" t="n"/>
      <c r="D177" s="32" t="n"/>
      <c r="E177" s="34" t="n"/>
      <c r="F177" s="33" t="n"/>
      <c r="G177" s="34" t="n"/>
      <c r="H177" s="33" t="n"/>
      <c r="I177" s="22">
        <f t="shared" si="0"/>
        <v/>
      </c>
      <c r="J177" s="22">
        <f t="shared" si="1"/>
        <v/>
      </c>
      <c r="K177" s="27">
        <f t="shared" si="2"/>
        <v/>
      </c>
      <c r="L177" s="29">
        <f t="shared" si="3"/>
        <v/>
      </c>
      <c r="M177" s="29">
        <f t="shared" si="4"/>
        <v/>
      </c>
    </row>
    <row r="178">
      <c r="B178" s="32" t="n"/>
      <c r="C178" s="33" t="n"/>
      <c r="D178" s="32" t="n"/>
      <c r="E178" s="34" t="n"/>
      <c r="F178" s="33" t="n"/>
      <c r="G178" s="34" t="n"/>
      <c r="H178" s="33" t="n"/>
      <c r="I178" s="22">
        <f t="shared" si="0"/>
        <v/>
      </c>
      <c r="J178" s="22">
        <f t="shared" si="1"/>
        <v/>
      </c>
      <c r="K178" s="27">
        <f t="shared" si="2"/>
        <v/>
      </c>
      <c r="L178" s="29">
        <f t="shared" si="3"/>
        <v/>
      </c>
      <c r="M178" s="29">
        <f t="shared" si="4"/>
        <v/>
      </c>
    </row>
    <row r="179">
      <c r="B179" s="32" t="n"/>
      <c r="C179" s="33" t="n"/>
      <c r="D179" s="32" t="n"/>
      <c r="E179" s="34" t="n"/>
      <c r="F179" s="33" t="n"/>
      <c r="G179" s="34" t="n"/>
      <c r="H179" s="33" t="n"/>
      <c r="I179" s="22">
        <f t="shared" si="0"/>
        <v/>
      </c>
      <c r="J179" s="22">
        <f t="shared" si="1"/>
        <v/>
      </c>
      <c r="K179" s="27">
        <f t="shared" si="2"/>
        <v/>
      </c>
      <c r="L179" s="29">
        <f t="shared" si="3"/>
        <v/>
      </c>
      <c r="M179" s="29">
        <f t="shared" si="4"/>
        <v/>
      </c>
    </row>
    <row r="180">
      <c r="B180" s="32" t="n"/>
      <c r="C180" s="33" t="n"/>
      <c r="D180" s="32" t="n"/>
      <c r="E180" s="34" t="n"/>
      <c r="F180" s="33" t="n"/>
      <c r="G180" s="34" t="n"/>
      <c r="H180" s="33" t="n"/>
      <c r="I180" s="22">
        <f t="shared" si="0"/>
        <v/>
      </c>
      <c r="J180" s="22">
        <f t="shared" si="1"/>
        <v/>
      </c>
      <c r="K180" s="27">
        <f t="shared" si="2"/>
        <v/>
      </c>
      <c r="L180" s="29">
        <f t="shared" si="3"/>
        <v/>
      </c>
      <c r="M180" s="29">
        <f t="shared" si="4"/>
        <v/>
      </c>
    </row>
    <row r="181">
      <c r="B181" s="32" t="n"/>
      <c r="C181" s="33" t="n"/>
      <c r="D181" s="32" t="n"/>
      <c r="E181" s="34" t="n"/>
      <c r="F181" s="33" t="n"/>
      <c r="G181" s="34" t="n"/>
      <c r="H181" s="33" t="n"/>
      <c r="I181" s="22">
        <f t="shared" si="0"/>
        <v/>
      </c>
      <c r="J181" s="22">
        <f t="shared" si="1"/>
        <v/>
      </c>
      <c r="K181" s="27">
        <f t="shared" si="2"/>
        <v/>
      </c>
      <c r="L181" s="29">
        <f t="shared" si="3"/>
        <v/>
      </c>
      <c r="M181" s="29">
        <f t="shared" si="4"/>
        <v/>
      </c>
    </row>
    <row r="182">
      <c r="B182" s="32" t="n"/>
      <c r="C182" s="33" t="n"/>
      <c r="D182" s="32" t="n"/>
      <c r="E182" s="34" t="n"/>
      <c r="F182" s="33" t="n"/>
      <c r="G182" s="34" t="n"/>
      <c r="H182" s="33" t="n"/>
      <c r="I182" s="22">
        <f t="shared" si="0"/>
        <v/>
      </c>
      <c r="J182" s="22">
        <f t="shared" si="1"/>
        <v/>
      </c>
      <c r="K182" s="27">
        <f t="shared" si="2"/>
        <v/>
      </c>
      <c r="L182" s="29">
        <f t="shared" si="3"/>
        <v/>
      </c>
      <c r="M182" s="29">
        <f t="shared" si="4"/>
        <v/>
      </c>
    </row>
    <row r="183">
      <c r="B183" s="32" t="n"/>
      <c r="C183" s="33" t="n"/>
      <c r="D183" s="32" t="n"/>
      <c r="E183" s="34" t="n"/>
      <c r="F183" s="33" t="n"/>
      <c r="G183" s="34" t="n"/>
      <c r="H183" s="33" t="n"/>
      <c r="I183" s="22">
        <f t="shared" si="0"/>
        <v/>
      </c>
      <c r="J183" s="22">
        <f t="shared" si="1"/>
        <v/>
      </c>
      <c r="K183" s="27">
        <f t="shared" si="2"/>
        <v/>
      </c>
      <c r="L183" s="29">
        <f t="shared" si="3"/>
        <v/>
      </c>
      <c r="M183" s="29">
        <f t="shared" si="4"/>
        <v/>
      </c>
    </row>
    <row r="184">
      <c r="B184" s="32" t="n"/>
      <c r="C184" s="33" t="n"/>
      <c r="D184" s="32" t="n"/>
      <c r="E184" s="34" t="n"/>
      <c r="F184" s="33" t="n"/>
      <c r="G184" s="34" t="n"/>
      <c r="H184" s="33" t="n"/>
      <c r="I184" s="22">
        <f t="shared" si="0"/>
        <v/>
      </c>
      <c r="J184" s="22">
        <f t="shared" si="1"/>
        <v/>
      </c>
      <c r="K184" s="27">
        <f t="shared" si="2"/>
        <v/>
      </c>
      <c r="L184" s="29">
        <f t="shared" si="3"/>
        <v/>
      </c>
      <c r="M184" s="29">
        <f t="shared" si="4"/>
        <v/>
      </c>
    </row>
    <row r="185">
      <c r="B185" s="32" t="n"/>
      <c r="C185" s="33" t="n"/>
      <c r="D185" s="32" t="n"/>
      <c r="E185" s="34" t="n"/>
      <c r="F185" s="33" t="n"/>
      <c r="G185" s="34" t="n"/>
      <c r="H185" s="33" t="n"/>
      <c r="I185" s="22">
        <f t="shared" si="0"/>
        <v/>
      </c>
      <c r="J185" s="22">
        <f t="shared" si="1"/>
        <v/>
      </c>
      <c r="K185" s="27">
        <f t="shared" si="2"/>
        <v/>
      </c>
      <c r="L185" s="29">
        <f t="shared" si="3"/>
        <v/>
      </c>
      <c r="M185" s="29">
        <f t="shared" si="4"/>
        <v/>
      </c>
    </row>
    <row r="186">
      <c r="B186" s="32" t="n"/>
      <c r="C186" s="33" t="n"/>
      <c r="D186" s="32" t="n"/>
      <c r="E186" s="34" t="n"/>
      <c r="F186" s="33" t="n"/>
      <c r="G186" s="34" t="n"/>
      <c r="H186" s="33" t="n"/>
      <c r="I186" s="22">
        <f t="shared" si="0"/>
        <v/>
      </c>
      <c r="J186" s="22">
        <f t="shared" si="1"/>
        <v/>
      </c>
      <c r="K186" s="27">
        <f t="shared" si="2"/>
        <v/>
      </c>
      <c r="L186" s="29">
        <f t="shared" si="3"/>
        <v/>
      </c>
      <c r="M186" s="29">
        <f t="shared" si="4"/>
        <v/>
      </c>
    </row>
    <row r="187">
      <c r="B187" s="32" t="n"/>
      <c r="C187" s="33" t="n"/>
      <c r="D187" s="32" t="n"/>
      <c r="E187" s="34" t="n"/>
      <c r="F187" s="33" t="n"/>
      <c r="G187" s="34" t="n"/>
      <c r="H187" s="33" t="n"/>
      <c r="I187" s="22">
        <f t="shared" si="0"/>
        <v/>
      </c>
      <c r="J187" s="22">
        <f t="shared" si="1"/>
        <v/>
      </c>
      <c r="K187" s="27">
        <f t="shared" si="2"/>
        <v/>
      </c>
      <c r="L187" s="29">
        <f t="shared" si="3"/>
        <v/>
      </c>
      <c r="M187" s="29">
        <f t="shared" si="4"/>
        <v/>
      </c>
    </row>
    <row r="188">
      <c r="B188" s="32" t="n"/>
      <c r="C188" s="33" t="n"/>
      <c r="D188" s="32" t="n"/>
      <c r="E188" s="34" t="n"/>
      <c r="F188" s="33" t="n"/>
      <c r="G188" s="34" t="n"/>
      <c r="H188" s="33" t="n"/>
      <c r="I188" s="22">
        <f t="shared" si="0"/>
        <v/>
      </c>
      <c r="J188" s="22">
        <f t="shared" si="1"/>
        <v/>
      </c>
      <c r="K188" s="27">
        <f t="shared" si="2"/>
        <v/>
      </c>
      <c r="L188" s="29">
        <f t="shared" si="3"/>
        <v/>
      </c>
      <c r="M188" s="29">
        <f t="shared" si="4"/>
        <v/>
      </c>
    </row>
    <row r="189">
      <c r="B189" s="32" t="n"/>
      <c r="C189" s="33" t="n"/>
      <c r="D189" s="32" t="n"/>
      <c r="E189" s="34" t="n"/>
      <c r="F189" s="33" t="n"/>
      <c r="G189" s="34" t="n"/>
      <c r="H189" s="33" t="n"/>
      <c r="I189" s="22">
        <f t="shared" si="0"/>
        <v/>
      </c>
      <c r="J189" s="22">
        <f t="shared" si="1"/>
        <v/>
      </c>
      <c r="K189" s="27">
        <f t="shared" si="2"/>
        <v/>
      </c>
      <c r="L189" s="29">
        <f t="shared" si="3"/>
        <v/>
      </c>
      <c r="M189" s="29">
        <f t="shared" si="4"/>
        <v/>
      </c>
    </row>
    <row r="190">
      <c r="B190" s="32" t="n"/>
      <c r="C190" s="33" t="n"/>
      <c r="D190" s="32" t="n"/>
      <c r="E190" s="34" t="n"/>
      <c r="F190" s="33" t="n"/>
      <c r="G190" s="34" t="n"/>
      <c r="H190" s="33" t="n"/>
      <c r="I190" s="22">
        <f t="shared" si="0"/>
        <v/>
      </c>
      <c r="J190" s="22">
        <f t="shared" si="1"/>
        <v/>
      </c>
      <c r="K190" s="27">
        <f t="shared" si="2"/>
        <v/>
      </c>
      <c r="L190" s="29">
        <f t="shared" si="3"/>
        <v/>
      </c>
      <c r="M190" s="29">
        <f t="shared" si="4"/>
        <v/>
      </c>
    </row>
    <row r="191">
      <c r="B191" s="32" t="n"/>
      <c r="C191" s="33" t="n"/>
      <c r="D191" s="32" t="n"/>
      <c r="E191" s="34" t="n"/>
      <c r="F191" s="33" t="n"/>
      <c r="G191" s="34" t="n"/>
      <c r="H191" s="33" t="n"/>
      <c r="I191" s="22">
        <f t="shared" si="0"/>
        <v/>
      </c>
      <c r="J191" s="22">
        <f t="shared" si="1"/>
        <v/>
      </c>
      <c r="K191" s="27">
        <f t="shared" si="2"/>
        <v/>
      </c>
      <c r="L191" s="29">
        <f t="shared" si="3"/>
        <v/>
      </c>
      <c r="M191" s="29">
        <f t="shared" si="4"/>
        <v/>
      </c>
    </row>
    <row r="192">
      <c r="B192" s="32" t="n"/>
      <c r="C192" s="33" t="n"/>
      <c r="D192" s="32" t="n"/>
      <c r="E192" s="34" t="n"/>
      <c r="F192" s="33" t="n"/>
      <c r="G192" s="34" t="n"/>
      <c r="H192" s="33" t="n"/>
      <c r="I192" s="22">
        <f t="shared" si="0"/>
        <v/>
      </c>
      <c r="J192" s="22">
        <f t="shared" si="1"/>
        <v/>
      </c>
      <c r="K192" s="27">
        <f t="shared" si="2"/>
        <v/>
      </c>
      <c r="L192" s="29">
        <f t="shared" si="3"/>
        <v/>
      </c>
      <c r="M192" s="29">
        <f t="shared" si="4"/>
        <v/>
      </c>
    </row>
    <row r="193">
      <c r="B193" s="32" t="n"/>
      <c r="C193" s="33" t="n"/>
      <c r="D193" s="32" t="n"/>
      <c r="E193" s="34" t="n"/>
      <c r="F193" s="33" t="n"/>
      <c r="G193" s="34" t="n"/>
      <c r="H193" s="33" t="n"/>
      <c r="I193" s="22">
        <f t="shared" si="0"/>
        <v/>
      </c>
      <c r="J193" s="22">
        <f t="shared" si="1"/>
        <v/>
      </c>
      <c r="K193" s="27">
        <f t="shared" si="2"/>
        <v/>
      </c>
      <c r="L193" s="29">
        <f t="shared" si="3"/>
        <v/>
      </c>
      <c r="M193" s="29">
        <f t="shared" si="4"/>
        <v/>
      </c>
    </row>
    <row r="194">
      <c r="B194" s="32" t="n"/>
      <c r="C194" s="33" t="n"/>
      <c r="D194" s="32" t="n"/>
      <c r="E194" s="34" t="n"/>
      <c r="F194" s="33" t="n"/>
      <c r="G194" s="34" t="n"/>
      <c r="H194" s="33" t="n"/>
      <c r="I194" s="22">
        <f t="shared" si="0"/>
        <v/>
      </c>
      <c r="J194" s="22">
        <f t="shared" si="1"/>
        <v/>
      </c>
      <c r="K194" s="27">
        <f t="shared" si="2"/>
        <v/>
      </c>
      <c r="L194" s="29">
        <f t="shared" si="3"/>
        <v/>
      </c>
      <c r="M194" s="29">
        <f t="shared" si="4"/>
        <v/>
      </c>
    </row>
    <row r="195">
      <c r="B195" s="32" t="n"/>
      <c r="C195" s="33" t="n"/>
      <c r="D195" s="32" t="n"/>
      <c r="E195" s="34" t="n"/>
      <c r="F195" s="33" t="n"/>
      <c r="G195" s="34" t="n"/>
      <c r="H195" s="33" t="n"/>
      <c r="I195" s="22">
        <f t="shared" si="0"/>
        <v/>
      </c>
      <c r="J195" s="22">
        <f t="shared" si="1"/>
        <v/>
      </c>
      <c r="K195" s="27">
        <f t="shared" si="2"/>
        <v/>
      </c>
      <c r="L195" s="29">
        <f t="shared" si="3"/>
        <v/>
      </c>
      <c r="M195" s="29">
        <f t="shared" si="4"/>
        <v/>
      </c>
    </row>
    <row r="196">
      <c r="B196" s="32" t="n"/>
      <c r="C196" s="33" t="n"/>
      <c r="D196" s="32" t="n"/>
      <c r="E196" s="34" t="n"/>
      <c r="F196" s="33" t="n"/>
      <c r="G196" s="34" t="n"/>
      <c r="H196" s="33" t="n"/>
      <c r="I196" s="22">
        <f t="shared" si="0"/>
        <v/>
      </c>
      <c r="J196" s="22">
        <f t="shared" si="1"/>
        <v/>
      </c>
      <c r="K196" s="27">
        <f t="shared" si="2"/>
        <v/>
      </c>
      <c r="L196" s="29">
        <f t="shared" si="3"/>
        <v/>
      </c>
      <c r="M196" s="29">
        <f t="shared" si="4"/>
        <v/>
      </c>
    </row>
    <row r="197">
      <c r="B197" s="32" t="n"/>
      <c r="C197" s="33" t="n"/>
      <c r="D197" s="32" t="n"/>
      <c r="E197" s="34" t="n"/>
      <c r="F197" s="33" t="n"/>
      <c r="G197" s="34" t="n"/>
      <c r="H197" s="33" t="n"/>
      <c r="I197" s="22">
        <f t="shared" si="0"/>
        <v/>
      </c>
      <c r="J197" s="22">
        <f t="shared" si="1"/>
        <v/>
      </c>
      <c r="K197" s="27">
        <f t="shared" si="2"/>
        <v/>
      </c>
      <c r="L197" s="29">
        <f t="shared" si="3"/>
        <v/>
      </c>
      <c r="M197" s="29">
        <f t="shared" si="4"/>
        <v/>
      </c>
    </row>
    <row r="198">
      <c r="B198" s="32" t="n"/>
      <c r="C198" s="33" t="n"/>
      <c r="D198" s="32" t="n"/>
      <c r="E198" s="34" t="n"/>
      <c r="F198" s="33" t="n"/>
      <c r="G198" s="34" t="n"/>
      <c r="H198" s="33" t="n"/>
      <c r="I198" s="22">
        <f t="shared" si="0"/>
        <v/>
      </c>
      <c r="J198" s="22">
        <f t="shared" si="1"/>
        <v/>
      </c>
      <c r="K198" s="27">
        <f t="shared" si="2"/>
        <v/>
      </c>
      <c r="L198" s="29">
        <f t="shared" si="3"/>
        <v/>
      </c>
      <c r="M198" s="29">
        <f t="shared" si="4"/>
        <v/>
      </c>
    </row>
    <row r="199">
      <c r="B199" s="32" t="n"/>
      <c r="C199" s="33" t="n"/>
      <c r="D199" s="32" t="n"/>
      <c r="E199" s="34" t="n"/>
      <c r="F199" s="33" t="n"/>
      <c r="G199" s="34" t="n"/>
      <c r="H199" s="33" t="n"/>
      <c r="I199" s="22">
        <f t="shared" si="0"/>
        <v/>
      </c>
      <c r="J199" s="22">
        <f t="shared" si="1"/>
        <v/>
      </c>
      <c r="K199" s="27">
        <f t="shared" si="2"/>
        <v/>
      </c>
      <c r="L199" s="29">
        <f t="shared" si="3"/>
        <v/>
      </c>
      <c r="M199" s="29">
        <f t="shared" si="4"/>
        <v/>
      </c>
    </row>
    <row r="200">
      <c r="B200" s="32" t="n"/>
      <c r="C200" s="33" t="n"/>
      <c r="D200" s="32" t="n"/>
      <c r="E200" s="34" t="n"/>
      <c r="F200" s="33" t="n"/>
      <c r="G200" s="34" t="n"/>
      <c r="H200" s="33" t="n"/>
      <c r="I200" s="22">
        <f t="shared" si="0"/>
        <v/>
      </c>
      <c r="J200" s="22">
        <f t="shared" si="1"/>
        <v/>
      </c>
      <c r="K200" s="27">
        <f t="shared" si="2"/>
        <v/>
      </c>
      <c r="L200" s="29">
        <f t="shared" si="3"/>
        <v/>
      </c>
      <c r="M200" s="29">
        <f t="shared" si="4"/>
        <v/>
      </c>
    </row>
    <row r="201">
      <c r="B201" s="32" t="n"/>
      <c r="C201" s="33" t="n"/>
      <c r="D201" s="32" t="n"/>
      <c r="E201" s="34" t="n"/>
      <c r="F201" s="33" t="n"/>
      <c r="G201" s="34" t="n"/>
      <c r="H201" s="33" t="n"/>
      <c r="I201" s="22">
        <f t="shared" si="0"/>
        <v/>
      </c>
      <c r="J201" s="22">
        <f t="shared" si="1"/>
        <v/>
      </c>
      <c r="K201" s="27">
        <f t="shared" si="2"/>
        <v/>
      </c>
      <c r="L201" s="29">
        <f t="shared" si="3"/>
        <v/>
      </c>
      <c r="M201" s="29">
        <f t="shared" si="4"/>
        <v/>
      </c>
    </row>
    <row r="202">
      <c r="B202" s="32" t="n"/>
      <c r="C202" s="33" t="n"/>
      <c r="D202" s="32" t="n"/>
      <c r="E202" s="34" t="n"/>
      <c r="F202" s="33" t="n"/>
      <c r="G202" s="34" t="n"/>
      <c r="H202" s="33" t="n"/>
      <c r="I202" s="22">
        <f t="shared" si="0"/>
        <v/>
      </c>
      <c r="J202" s="22">
        <f t="shared" si="1"/>
        <v/>
      </c>
      <c r="K202" s="27">
        <f t="shared" si="2"/>
        <v/>
      </c>
      <c r="L202" s="29">
        <f t="shared" si="3"/>
        <v/>
      </c>
      <c r="M202" s="29">
        <f t="shared" si="4"/>
        <v/>
      </c>
    </row>
    <row r="203">
      <c r="B203" s="32" t="n"/>
      <c r="C203" s="33" t="n"/>
      <c r="D203" s="32" t="n"/>
      <c r="E203" s="34" t="n"/>
      <c r="F203" s="33" t="n"/>
      <c r="G203" s="34" t="n"/>
      <c r="H203" s="33" t="n"/>
      <c r="I203" s="22">
        <f t="shared" si="0"/>
        <v/>
      </c>
      <c r="J203" s="22">
        <f t="shared" si="1"/>
        <v/>
      </c>
      <c r="K203" s="27">
        <f t="shared" si="2"/>
        <v/>
      </c>
      <c r="L203" s="29">
        <f t="shared" si="3"/>
        <v/>
      </c>
      <c r="M203" s="29">
        <f t="shared" si="4"/>
        <v/>
      </c>
    </row>
    <row r="204">
      <c r="B204" s="32" t="n"/>
      <c r="C204" s="33" t="n"/>
      <c r="D204" s="32" t="n"/>
      <c r="E204" s="34" t="n"/>
      <c r="F204" s="33" t="n"/>
      <c r="G204" s="34" t="n"/>
      <c r="H204" s="33" t="n"/>
      <c r="I204" s="22">
        <f t="shared" si="0"/>
        <v/>
      </c>
      <c r="J204" s="22">
        <f t="shared" si="1"/>
        <v/>
      </c>
      <c r="K204" s="27">
        <f t="shared" si="2"/>
        <v/>
      </c>
      <c r="L204" s="29">
        <f t="shared" si="3"/>
        <v/>
      </c>
      <c r="M204" s="29">
        <f t="shared" si="4"/>
        <v/>
      </c>
    </row>
  </sheetData>
  <autoFilter ref="B4:M204"/>
  <conditionalFormatting sqref="K5:K204">
    <cfRule type="cellIs" priority="1" operator="equal" dxfId="10">
      <formula>"要確認"</formula>
    </cfRule>
    <cfRule type="cellIs" priority="2" operator="equal" dxfId="9">
      <formula>"OK"</formula>
    </cfRule>
  </conditionalFormatting>
  <conditionalFormatting sqref="G5:G204">
    <cfRule type="cellIs" priority="3" operator="equal" dxfId="3">
      <formula>"申請中"</formula>
    </cfRule>
    <cfRule type="cellIs" priority="4" operator="equal" dxfId="9">
      <formula>"承認"</formula>
    </cfRule>
    <cfRule type="cellIs" priority="5" operator="equal" dxfId="0">
      <formula>"却下"</formula>
    </cfRule>
  </conditionalFormatting>
  <dataValidations count="4">
    <dataValidation sqref="C5:C204" showDropDown="0" showInputMessage="0" showErrorMessage="0" allowBlank="1" type="list">
      <formula1>=STAFF_NAMES</formula1>
    </dataValidation>
    <dataValidation sqref="E5:E204" showDropDown="0" showInputMessage="0" showErrorMessage="0" allowBlank="1" type="list">
      <formula1>=設定!$B$30:$B$38</formula1>
    </dataValidation>
    <dataValidation sqref="G5:G204" showDropDown="0" showInputMessage="0" showErrorMessage="0" allowBlank="1" type="list">
      <formula1>"申請中,承認,却下"</formula1>
    </dataValidation>
    <dataValidation sqref="B5:B204 D5:D204" showDropDown="0" showInputMessage="0" showErrorMessage="1" allowBlank="1" error="日付を 2026/9/10 の形式で入力してください" type="date" operator="greaterThan">
      <formula1>40000</formula1>
    </dataValidation>
  </dataValidations>
  <pageMargins left="0.75" right="0.75" top="1" bottom="1" header="0.5" footer="0.5"/>
  <legacyDrawing r:id="anysvml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14" customWidth="1" min="4" max="4"/>
    <col width="9" customWidth="1" min="5" max="5"/>
    <col width="9" customWidth="1" min="6" max="6"/>
    <col width="12" customWidth="1" min="7" max="7"/>
    <col width="12" customWidth="1" min="8" max="8"/>
    <col width="14" customWidth="1" min="9" max="9"/>
    <col width="30" customWidth="1" min="10" max="10"/>
  </cols>
  <sheetData>
    <row r="1">
      <c r="B1" s="1" t="inlineStr">
        <is>
          <t>有給管理（自動集計）</t>
        </is>
      </c>
    </row>
    <row r="2">
      <c r="B2" s="2" t="inlineStr">
        <is>
          <t>承認済みの「有」「午前」「午後」を基準日以降で数える。派遣の残数は派遣元が管理するため、ここでは取得日数の把握のみ。</t>
        </is>
      </c>
    </row>
    <row r="4" ht="30" customHeight="1">
      <c r="B4" s="13" t="inlineStr">
        <is>
          <t>氏名</t>
        </is>
      </c>
      <c r="C4" s="13" t="inlineStr">
        <is>
          <t>区分</t>
        </is>
      </c>
      <c r="D4" s="13" t="inlineStr">
        <is>
          <t>基準日（付与日）</t>
        </is>
      </c>
      <c r="E4" s="13" t="inlineStr">
        <is>
          <t>付与日数</t>
        </is>
      </c>
      <c r="F4" s="13" t="inlineStr">
        <is>
          <t>繰越日数</t>
        </is>
      </c>
      <c r="G4" s="13" t="inlineStr">
        <is>
          <t>取得日数（承認済）</t>
        </is>
      </c>
      <c r="H4" s="13" t="inlineStr">
        <is>
          <t>残日数</t>
        </is>
      </c>
      <c r="I4" s="13" t="inlineStr">
        <is>
          <t>年5日取得義務</t>
        </is>
      </c>
      <c r="J4" s="13" t="inlineStr">
        <is>
          <t>備考</t>
        </is>
      </c>
    </row>
    <row r="5">
      <c r="B5" s="19">
        <f t="shared" ref="B5:B10" si="0">設定!B5</f>
        <v/>
      </c>
      <c r="C5" s="20">
        <f t="shared" ref="C5:C10" si="1">設定!C5</f>
        <v/>
      </c>
      <c r="D5" s="32" t="n">
        <v>46113</v>
      </c>
      <c r="E5" s="35" t="n">
        <v>10</v>
      </c>
      <c r="F5" s="35" t="n">
        <v>0</v>
      </c>
      <c r="G5" s="23">
        <f t="shared" ref="G5:G10" si="2">IF(B5="","",COUNTIFS(LOG_NAME,B5,LOG_DATE,"&gt;="&amp;IF(D5="",0,D5),LOG_SYM,"有",LOG_STATE,"承認")+0.5*(COUNTIFS(LOG_NAME,B5,LOG_DATE,"&gt;="&amp;IF(D5="",0,D5),LOG_SYM,"午前",LOG_STATE,"承認")+COUNTIFS(LOG_NAME,B5,LOG_DATE,"&gt;="&amp;IF(D5="",0,D5),LOG_SYM,"午後",LOG_STATE,"承認")))</f>
        <v/>
      </c>
      <c r="H5" s="23">
        <f t="shared" ref="H5:H10" si="3">IF(B5="","",IF(C5="派遣","派遣元で管理",E5+F5-G5))</f>
        <v/>
      </c>
      <c r="I5" s="22">
        <f t="shared" ref="I5:I10" si="4">IF(B5="","",IF(C5="派遣","対象外（派遣元）",IF(E5&gt;=10,IF(G5&gt;=5,"達成","あと"&amp;(5-G5)&amp;"日"),"対象外")))</f>
        <v/>
      </c>
      <c r="J5" s="36" t="inlineStr">
        <is>
          <t>付与日数・繰越は例。実際の値に直す。</t>
        </is>
      </c>
    </row>
    <row r="6">
      <c r="B6" s="19">
        <f t="shared" si="0"/>
        <v/>
      </c>
      <c r="C6" s="20">
        <f t="shared" si="1"/>
        <v/>
      </c>
      <c r="D6" s="32" t="n">
        <v>46113</v>
      </c>
      <c r="E6" s="35" t="n">
        <v>11</v>
      </c>
      <c r="F6" s="35" t="n">
        <v>3</v>
      </c>
      <c r="G6" s="23">
        <f t="shared" si="2"/>
        <v/>
      </c>
      <c r="H6" s="23">
        <f t="shared" si="3"/>
        <v/>
      </c>
      <c r="I6" s="22">
        <f t="shared" si="4"/>
        <v/>
      </c>
      <c r="J6" s="36" t="inlineStr"/>
    </row>
    <row r="7">
      <c r="B7" s="19">
        <f t="shared" si="0"/>
        <v/>
      </c>
      <c r="C7" s="20">
        <f t="shared" si="1"/>
        <v/>
      </c>
      <c r="D7" s="32" t="n"/>
      <c r="E7" s="35" t="n"/>
      <c r="F7" s="35" t="n"/>
      <c r="G7" s="23">
        <f t="shared" si="2"/>
        <v/>
      </c>
      <c r="H7" s="23">
        <f t="shared" si="3"/>
        <v/>
      </c>
      <c r="I7" s="22">
        <f t="shared" si="4"/>
        <v/>
      </c>
      <c r="J7" s="36" t="inlineStr"/>
    </row>
    <row r="8">
      <c r="B8" s="19">
        <f t="shared" si="0"/>
        <v/>
      </c>
      <c r="C8" s="20">
        <f t="shared" si="1"/>
        <v/>
      </c>
      <c r="D8" s="32" t="n"/>
      <c r="E8" s="35" t="n"/>
      <c r="F8" s="35" t="n"/>
      <c r="G8" s="23">
        <f t="shared" si="2"/>
        <v/>
      </c>
      <c r="H8" s="23">
        <f t="shared" si="3"/>
        <v/>
      </c>
      <c r="I8" s="22">
        <f t="shared" si="4"/>
        <v/>
      </c>
      <c r="J8" s="36" t="inlineStr"/>
    </row>
    <row r="9">
      <c r="B9" s="19">
        <f t="shared" si="0"/>
        <v/>
      </c>
      <c r="C9" s="20">
        <f t="shared" si="1"/>
        <v/>
      </c>
      <c r="D9" s="32" t="n"/>
      <c r="E9" s="35" t="n"/>
      <c r="F9" s="35" t="n"/>
      <c r="G9" s="23">
        <f t="shared" si="2"/>
        <v/>
      </c>
      <c r="H9" s="23">
        <f t="shared" si="3"/>
        <v/>
      </c>
      <c r="I9" s="22">
        <f t="shared" si="4"/>
        <v/>
      </c>
      <c r="J9" s="36" t="inlineStr"/>
    </row>
    <row r="10">
      <c r="B10" s="19">
        <f t="shared" si="0"/>
        <v/>
      </c>
      <c r="C10" s="20">
        <f t="shared" si="1"/>
        <v/>
      </c>
      <c r="D10" s="32" t="n"/>
      <c r="E10" s="35" t="n"/>
      <c r="F10" s="35" t="n"/>
      <c r="G10" s="23">
        <f t="shared" si="2"/>
        <v/>
      </c>
      <c r="H10" s="23">
        <f t="shared" si="3"/>
        <v/>
      </c>
      <c r="I10" s="22">
        <f t="shared" si="4"/>
        <v/>
      </c>
      <c r="J10" s="36" t="inlineStr"/>
    </row>
  </sheetData>
  <conditionalFormatting sqref="I5:I10">
    <cfRule type="expression" priority="1" dxfId="10">
      <formula>LEFT(I5,2)="あと"</formula>
    </cfRule>
    <cfRule type="cellIs" priority="2" operator="equal" dxfId="9">
      <formula>"達成"</formula>
    </cfRule>
  </conditionalFormatting>
  <conditionalFormatting sqref="H5:H10">
    <cfRule type="expression" priority="3" dxfId="11">
      <formula>AND(ISNUMBER(H5),H5&lt;=2)</formula>
    </cfRule>
  </conditionalFormatting>
  <pageMargins left="0.75" right="0.75" top="1" bottom="1" header="0.5" footer="0.5"/>
  <legacyDrawing r:id="anysvml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O8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24" customWidth="1" min="11" max="11"/>
    <col width="3" customWidth="1" min="12" max="12"/>
    <col width="3" customWidth="1" min="13" max="13"/>
    <col width="14" customWidth="1" min="14" max="14"/>
    <col width="22" customWidth="1" min="15" max="15"/>
  </cols>
  <sheetData>
    <row r="1">
      <c r="B1" s="1" t="inlineStr">
        <is>
          <t>設定</t>
        </is>
      </c>
    </row>
    <row r="2">
      <c r="B2" s="2" t="inlineStr">
        <is>
          <t>黄色のセルを編集する。メンバーは最大6名まで。</t>
        </is>
      </c>
    </row>
    <row r="3">
      <c r="B3" s="37" t="inlineStr">
        <is>
          <t>メンバー（氏名・区分・勤務曜日）</t>
        </is>
      </c>
      <c r="N3" s="37" t="inlineStr">
        <is>
          <t>祝日・会社休業日（追加可）</t>
        </is>
      </c>
    </row>
    <row r="4">
      <c r="B4" s="13" t="inlineStr">
        <is>
          <t>氏名</t>
        </is>
      </c>
      <c r="C4" s="13" t="inlineStr">
        <is>
          <t>区分</t>
        </is>
      </c>
      <c r="D4" s="13" t="inlineStr">
        <is>
          <t>月</t>
        </is>
      </c>
      <c r="E4" s="13" t="inlineStr">
        <is>
          <t>火</t>
        </is>
      </c>
      <c r="F4" s="13" t="inlineStr">
        <is>
          <t>水</t>
        </is>
      </c>
      <c r="G4" s="13" t="inlineStr">
        <is>
          <t>木</t>
        </is>
      </c>
      <c r="H4" s="13" t="inlineStr">
        <is>
          <t>金</t>
        </is>
      </c>
      <c r="I4" s="13" t="inlineStr">
        <is>
          <t>土</t>
        </is>
      </c>
      <c r="J4" s="13" t="inlineStr">
        <is>
          <t>日</t>
        </is>
      </c>
      <c r="K4" s="13" t="inlineStr">
        <is>
          <t>備考</t>
        </is>
      </c>
      <c r="N4" s="13" t="inlineStr">
        <is>
          <t>日付</t>
        </is>
      </c>
      <c r="O4" s="13" t="inlineStr">
        <is>
          <t>名称</t>
        </is>
      </c>
    </row>
    <row r="5">
      <c r="B5" s="33" t="inlineStr">
        <is>
          <t>正社員A</t>
        </is>
      </c>
      <c r="C5" s="34" t="inlineStr">
        <is>
          <t>正社員</t>
        </is>
      </c>
      <c r="D5" s="34" t="inlineStr">
        <is>
          <t>○</t>
        </is>
      </c>
      <c r="E5" s="34" t="inlineStr">
        <is>
          <t>○</t>
        </is>
      </c>
      <c r="F5" s="34" t="inlineStr">
        <is>
          <t>○</t>
        </is>
      </c>
      <c r="G5" s="34" t="inlineStr">
        <is>
          <t>○</t>
        </is>
      </c>
      <c r="H5" s="34" t="inlineStr">
        <is>
          <t>○</t>
        </is>
      </c>
      <c r="I5" s="34" t="inlineStr">
        <is>
          <t>×</t>
        </is>
      </c>
      <c r="J5" s="34" t="inlineStr">
        <is>
          <t>×</t>
        </is>
      </c>
      <c r="K5" s="36" t="inlineStr">
        <is>
          <t>氏名を書き換える</t>
        </is>
      </c>
      <c r="N5" s="32" t="n">
        <v>46286</v>
      </c>
      <c r="O5" s="33" t="inlineStr">
        <is>
          <t>敬老の日</t>
        </is>
      </c>
    </row>
    <row r="6">
      <c r="B6" s="33" t="inlineStr">
        <is>
          <t>正社員B</t>
        </is>
      </c>
      <c r="C6" s="34" t="inlineStr">
        <is>
          <t>正社員</t>
        </is>
      </c>
      <c r="D6" s="34" t="inlineStr">
        <is>
          <t>○</t>
        </is>
      </c>
      <c r="E6" s="34" t="inlineStr">
        <is>
          <t>○</t>
        </is>
      </c>
      <c r="F6" s="34" t="inlineStr">
        <is>
          <t>○</t>
        </is>
      </c>
      <c r="G6" s="34" t="inlineStr">
        <is>
          <t>○</t>
        </is>
      </c>
      <c r="H6" s="34" t="inlineStr">
        <is>
          <t>○</t>
        </is>
      </c>
      <c r="I6" s="34" t="inlineStr">
        <is>
          <t>×</t>
        </is>
      </c>
      <c r="J6" s="34" t="inlineStr">
        <is>
          <t>×</t>
        </is>
      </c>
      <c r="K6" s="36" t="inlineStr"/>
      <c r="N6" s="32" t="n">
        <v>46287</v>
      </c>
      <c r="O6" s="33" t="inlineStr">
        <is>
          <t>国民の休日</t>
        </is>
      </c>
    </row>
    <row r="7">
      <c r="B7" s="33" t="inlineStr">
        <is>
          <t>派遣A</t>
        </is>
      </c>
      <c r="C7" s="34" t="inlineStr">
        <is>
          <t>派遣</t>
        </is>
      </c>
      <c r="D7" s="34" t="inlineStr">
        <is>
          <t>○</t>
        </is>
      </c>
      <c r="E7" s="34" t="inlineStr">
        <is>
          <t>○</t>
        </is>
      </c>
      <c r="F7" s="34" t="inlineStr">
        <is>
          <t>○</t>
        </is>
      </c>
      <c r="G7" s="34" t="inlineStr">
        <is>
          <t>○</t>
        </is>
      </c>
      <c r="H7" s="34" t="inlineStr">
        <is>
          <t>○</t>
        </is>
      </c>
      <c r="I7" s="34" t="inlineStr">
        <is>
          <t>×</t>
        </is>
      </c>
      <c r="J7" s="34" t="inlineStr">
        <is>
          <t>×</t>
        </is>
      </c>
      <c r="K7" s="36" t="inlineStr">
        <is>
          <t>契約勤務日に合わせて○×を直す</t>
        </is>
      </c>
      <c r="N7" s="32" t="n">
        <v>46288</v>
      </c>
      <c r="O7" s="33" t="inlineStr">
        <is>
          <t>秋分の日</t>
        </is>
      </c>
    </row>
    <row r="8">
      <c r="B8" s="33" t="inlineStr">
        <is>
          <t>派遣B</t>
        </is>
      </c>
      <c r="C8" s="34" t="inlineStr">
        <is>
          <t>派遣</t>
        </is>
      </c>
      <c r="D8" s="34" t="inlineStr">
        <is>
          <t>○</t>
        </is>
      </c>
      <c r="E8" s="34" t="inlineStr">
        <is>
          <t>○</t>
        </is>
      </c>
      <c r="F8" s="34" t="inlineStr">
        <is>
          <t>○</t>
        </is>
      </c>
      <c r="G8" s="34" t="inlineStr">
        <is>
          <t>○</t>
        </is>
      </c>
      <c r="H8" s="34" t="inlineStr">
        <is>
          <t>○</t>
        </is>
      </c>
      <c r="I8" s="34" t="inlineStr">
        <is>
          <t>×</t>
        </is>
      </c>
      <c r="J8" s="34" t="inlineStr">
        <is>
          <t>×</t>
        </is>
      </c>
      <c r="K8" s="36" t="inlineStr"/>
      <c r="N8" s="32" t="n">
        <v>46307</v>
      </c>
      <c r="O8" s="33" t="inlineStr">
        <is>
          <t>スポーツの日</t>
        </is>
      </c>
    </row>
    <row r="9">
      <c r="B9" s="33" t="inlineStr"/>
      <c r="C9" s="34" t="inlineStr"/>
      <c r="D9" s="34" t="inlineStr"/>
      <c r="E9" s="34" t="inlineStr"/>
      <c r="F9" s="34" t="inlineStr"/>
      <c r="G9" s="34" t="inlineStr"/>
      <c r="H9" s="34" t="inlineStr"/>
      <c r="I9" s="34" t="inlineStr"/>
      <c r="J9" s="34" t="inlineStr"/>
      <c r="K9" s="36" t="inlineStr"/>
      <c r="N9" s="32" t="n">
        <v>46329</v>
      </c>
      <c r="O9" s="33" t="inlineStr">
        <is>
          <t>文化の日</t>
        </is>
      </c>
    </row>
    <row r="10">
      <c r="B10" s="33" t="inlineStr"/>
      <c r="C10" s="34" t="inlineStr"/>
      <c r="D10" s="34" t="inlineStr"/>
      <c r="E10" s="34" t="inlineStr"/>
      <c r="F10" s="34" t="inlineStr"/>
      <c r="G10" s="34" t="inlineStr"/>
      <c r="H10" s="34" t="inlineStr"/>
      <c r="I10" s="34" t="inlineStr"/>
      <c r="J10" s="34" t="inlineStr"/>
      <c r="K10" s="36" t="inlineStr"/>
      <c r="N10" s="32" t="n">
        <v>46349</v>
      </c>
      <c r="O10" s="33" t="inlineStr">
        <is>
          <t>勤労感謝の日</t>
        </is>
      </c>
    </row>
    <row r="11">
      <c r="N11" s="32" t="n">
        <v>46385</v>
      </c>
      <c r="O11" s="33" t="inlineStr">
        <is>
          <t>年末休業（例）</t>
        </is>
      </c>
    </row>
    <row r="12">
      <c r="B12" s="37" t="inlineStr">
        <is>
          <t>ルール（人数の下限）</t>
        </is>
      </c>
      <c r="N12" s="32" t="n">
        <v>46386</v>
      </c>
      <c r="O12" s="33" t="inlineStr">
        <is>
          <t>年末休業（例）</t>
        </is>
      </c>
    </row>
    <row r="13">
      <c r="B13" s="13" t="inlineStr">
        <is>
          <t>項目</t>
        </is>
      </c>
      <c r="C13" s="13" t="inlineStr">
        <is>
          <t>値</t>
        </is>
      </c>
      <c r="N13" s="32" t="n">
        <v>46387</v>
      </c>
      <c r="O13" s="33" t="inlineStr">
        <is>
          <t>年末休業（例）</t>
        </is>
      </c>
    </row>
    <row r="14">
      <c r="B14" s="38" t="inlineStr">
        <is>
          <t>最低出勤人数（1日あたり）</t>
        </is>
      </c>
      <c r="C14" s="34" t="n">
        <v>2</v>
      </c>
      <c r="N14" s="32" t="n">
        <v>46388</v>
      </c>
      <c r="O14" s="33" t="inlineStr">
        <is>
          <t>元日</t>
        </is>
      </c>
    </row>
    <row r="15">
      <c r="B15" s="38" t="inlineStr">
        <is>
          <t>最低正社員出勤人数</t>
        </is>
      </c>
      <c r="C15" s="34" t="n">
        <v>1</v>
      </c>
      <c r="N15" s="32" t="n">
        <v>46389</v>
      </c>
      <c r="O15" s="33" t="inlineStr">
        <is>
          <t>年始休業（例）</t>
        </is>
      </c>
    </row>
    <row r="16">
      <c r="B16" s="38" t="inlineStr">
        <is>
          <t>申請期限の目安</t>
        </is>
      </c>
      <c r="C16" s="33" t="inlineStr">
        <is>
          <t>休みたい日の1週間前まで</t>
        </is>
      </c>
      <c r="D16" s="6" t="n"/>
      <c r="E16" s="6" t="n"/>
      <c r="F16" s="6" t="n"/>
      <c r="G16" s="6" t="n"/>
      <c r="H16" s="6" t="n"/>
      <c r="I16" s="6" t="n"/>
      <c r="J16" s="6" t="n"/>
      <c r="K16" s="5" t="n"/>
      <c r="N16" s="32" t="n">
        <v>46390</v>
      </c>
      <c r="O16" s="33" t="inlineStr">
        <is>
          <t>年始休業（例）</t>
        </is>
      </c>
    </row>
    <row r="17">
      <c r="N17" s="32" t="n">
        <v>46398</v>
      </c>
      <c r="O17" s="33" t="inlineStr">
        <is>
          <t>成人の日</t>
        </is>
      </c>
    </row>
    <row r="18">
      <c r="B18" s="37" t="inlineStr">
        <is>
          <t>営業曜日（×の曜日は休業日として全員カウント対象外）</t>
        </is>
      </c>
      <c r="N18" s="32" t="n">
        <v>46429</v>
      </c>
      <c r="O18" s="33" t="inlineStr">
        <is>
          <t>建国記念の日</t>
        </is>
      </c>
    </row>
    <row r="19">
      <c r="B19" s="13" t="inlineStr">
        <is>
          <t>曜日</t>
        </is>
      </c>
      <c r="C19" s="13" t="inlineStr">
        <is>
          <t>営業</t>
        </is>
      </c>
      <c r="N19" s="32" t="n">
        <v>46441</v>
      </c>
      <c r="O19" s="33" t="inlineStr">
        <is>
          <t>天皇誕生日</t>
        </is>
      </c>
    </row>
    <row r="20">
      <c r="B20" s="21" t="inlineStr">
        <is>
          <t>月</t>
        </is>
      </c>
      <c r="C20" s="34" t="inlineStr">
        <is>
          <t>○</t>
        </is>
      </c>
      <c r="N20" s="32" t="n">
        <v>46468</v>
      </c>
      <c r="O20" s="33" t="inlineStr">
        <is>
          <t>春分の日 振替休日</t>
        </is>
      </c>
    </row>
    <row r="21">
      <c r="B21" s="21" t="inlineStr">
        <is>
          <t>火</t>
        </is>
      </c>
      <c r="C21" s="34" t="inlineStr">
        <is>
          <t>○</t>
        </is>
      </c>
      <c r="N21" s="32" t="n">
        <v>46506</v>
      </c>
      <c r="O21" s="33" t="inlineStr">
        <is>
          <t>昭和の日</t>
        </is>
      </c>
    </row>
    <row r="22">
      <c r="B22" s="21" t="inlineStr">
        <is>
          <t>水</t>
        </is>
      </c>
      <c r="C22" s="34" t="inlineStr">
        <is>
          <t>○</t>
        </is>
      </c>
      <c r="N22" s="32" t="n">
        <v>46510</v>
      </c>
      <c r="O22" s="33" t="inlineStr">
        <is>
          <t>憲法記念日</t>
        </is>
      </c>
    </row>
    <row r="23">
      <c r="B23" s="21" t="inlineStr">
        <is>
          <t>木</t>
        </is>
      </c>
      <c r="C23" s="34" t="inlineStr">
        <is>
          <t>○</t>
        </is>
      </c>
      <c r="N23" s="32" t="n">
        <v>46511</v>
      </c>
      <c r="O23" s="33" t="inlineStr">
        <is>
          <t>みどりの日</t>
        </is>
      </c>
    </row>
    <row r="24">
      <c r="B24" s="21" t="inlineStr">
        <is>
          <t>金</t>
        </is>
      </c>
      <c r="C24" s="34" t="inlineStr">
        <is>
          <t>○</t>
        </is>
      </c>
      <c r="N24" s="32" t="n">
        <v>46512</v>
      </c>
      <c r="O24" s="33" t="inlineStr">
        <is>
          <t>こどもの日</t>
        </is>
      </c>
    </row>
    <row r="25">
      <c r="B25" s="21" t="inlineStr">
        <is>
          <t>土</t>
        </is>
      </c>
      <c r="C25" s="34" t="inlineStr">
        <is>
          <t>×</t>
        </is>
      </c>
      <c r="N25" s="32" t="n">
        <v>46587</v>
      </c>
      <c r="O25" s="33" t="inlineStr">
        <is>
          <t>海の日</t>
        </is>
      </c>
    </row>
    <row r="26">
      <c r="B26" s="21" t="inlineStr">
        <is>
          <t>日</t>
        </is>
      </c>
      <c r="C26" s="34" t="inlineStr">
        <is>
          <t>×</t>
        </is>
      </c>
      <c r="N26" s="32" t="n">
        <v>46610</v>
      </c>
      <c r="O26" s="33" t="inlineStr">
        <is>
          <t>山の日</t>
        </is>
      </c>
    </row>
    <row r="27">
      <c r="N27" s="32" t="n">
        <v>46650</v>
      </c>
      <c r="O27" s="33" t="inlineStr">
        <is>
          <t>敬老の日</t>
        </is>
      </c>
    </row>
    <row r="28">
      <c r="B28" s="37" t="inlineStr">
        <is>
          <t>記号（休暇申請の種別）</t>
        </is>
      </c>
      <c r="N28" s="32" t="n">
        <v>46653</v>
      </c>
      <c r="O28" s="33" t="inlineStr">
        <is>
          <t>秋分の日</t>
        </is>
      </c>
    </row>
    <row r="29">
      <c r="B29" s="13" t="inlineStr">
        <is>
          <t>記号</t>
        </is>
      </c>
      <c r="C29" s="13" t="inlineStr">
        <is>
          <t>意味</t>
        </is>
      </c>
      <c r="D29" s="13" t="inlineStr">
        <is>
          <t>出勤係数</t>
        </is>
      </c>
      <c r="E29" s="5" t="n"/>
      <c r="F29" s="13" t="inlineStr">
        <is>
          <t>備考</t>
        </is>
      </c>
      <c r="G29" s="6" t="n"/>
      <c r="H29" s="6" t="n"/>
      <c r="I29" s="6" t="n"/>
      <c r="J29" s="6" t="n"/>
      <c r="K29" s="5" t="n"/>
      <c r="N29" s="32" t="n">
        <v>46671</v>
      </c>
      <c r="O29" s="33" t="inlineStr">
        <is>
          <t>スポーツの日</t>
        </is>
      </c>
    </row>
    <row r="30">
      <c r="B30" s="39" t="inlineStr">
        <is>
          <t>有</t>
        </is>
      </c>
      <c r="C30" s="38" t="inlineStr">
        <is>
          <t>有給休暇</t>
        </is>
      </c>
      <c r="D30" s="40" t="n">
        <v>0</v>
      </c>
      <c r="E30" s="5" t="n"/>
      <c r="F30" s="41" t="inlineStr">
        <is>
          <t>正社員は年5日取得義務の対象</t>
        </is>
      </c>
      <c r="G30" s="6" t="n"/>
      <c r="H30" s="6" t="n"/>
      <c r="I30" s="6" t="n"/>
      <c r="J30" s="6" t="n"/>
      <c r="K30" s="5" t="n"/>
      <c r="N30" s="32" t="n">
        <v>46694</v>
      </c>
      <c r="O30" s="33" t="inlineStr">
        <is>
          <t>文化の日</t>
        </is>
      </c>
    </row>
    <row r="31">
      <c r="B31" s="39" t="inlineStr">
        <is>
          <t>午前</t>
        </is>
      </c>
      <c r="C31" s="38" t="inlineStr">
        <is>
          <t>午前半休</t>
        </is>
      </c>
      <c r="D31" s="40" t="n">
        <v>0.5</v>
      </c>
      <c r="E31" s="5" t="n"/>
      <c r="F31" s="41" t="inlineStr">
        <is>
          <t>0.5日の有給として集計</t>
        </is>
      </c>
      <c r="G31" s="6" t="n"/>
      <c r="H31" s="6" t="n"/>
      <c r="I31" s="6" t="n"/>
      <c r="J31" s="6" t="n"/>
      <c r="K31" s="5" t="n"/>
      <c r="N31" s="32" t="n">
        <v>46714</v>
      </c>
      <c r="O31" s="33" t="inlineStr">
        <is>
          <t>勤労感謝の日</t>
        </is>
      </c>
    </row>
    <row r="32">
      <c r="B32" s="39" t="inlineStr">
        <is>
          <t>午後</t>
        </is>
      </c>
      <c r="C32" s="38" t="inlineStr">
        <is>
          <t>午後半休</t>
        </is>
      </c>
      <c r="D32" s="40" t="n">
        <v>0.5</v>
      </c>
      <c r="E32" s="5" t="n"/>
      <c r="F32" s="41" t="inlineStr">
        <is>
          <t>0.5日の有給として集計</t>
        </is>
      </c>
      <c r="G32" s="6" t="n"/>
      <c r="H32" s="6" t="n"/>
      <c r="I32" s="6" t="n"/>
      <c r="J32" s="6" t="n"/>
      <c r="K32" s="5" t="n"/>
      <c r="N32" s="42" t="n"/>
      <c r="O32" s="33" t="n"/>
    </row>
    <row r="33">
      <c r="B33" s="39" t="inlineStr">
        <is>
          <t>休</t>
        </is>
      </c>
      <c r="C33" s="38" t="inlineStr">
        <is>
          <t>公休・希望休</t>
        </is>
      </c>
      <c r="D33" s="40" t="n">
        <v>0</v>
      </c>
      <c r="E33" s="5" t="n"/>
      <c r="F33" s="41" t="inlineStr">
        <is>
          <t>無給の休み・シフト調整による休み</t>
        </is>
      </c>
      <c r="G33" s="6" t="n"/>
      <c r="H33" s="6" t="n"/>
      <c r="I33" s="6" t="n"/>
      <c r="J33" s="6" t="n"/>
      <c r="K33" s="5" t="n"/>
      <c r="N33" s="42" t="n"/>
      <c r="O33" s="33" t="n"/>
    </row>
    <row r="34">
      <c r="B34" s="39" t="inlineStr">
        <is>
          <t>特</t>
        </is>
      </c>
      <c r="C34" s="38" t="inlineStr">
        <is>
          <t>特別休暇（慶弔など）</t>
        </is>
      </c>
      <c r="D34" s="40" t="n">
        <v>0</v>
      </c>
      <c r="E34" s="5" t="n"/>
      <c r="F34" s="41" t="inlineStr"/>
      <c r="G34" s="6" t="n"/>
      <c r="H34" s="6" t="n"/>
      <c r="I34" s="6" t="n"/>
      <c r="J34" s="6" t="n"/>
      <c r="K34" s="5" t="n"/>
      <c r="N34" s="42" t="n"/>
      <c r="O34" s="33" t="n"/>
    </row>
    <row r="35">
      <c r="B35" s="39" t="inlineStr">
        <is>
          <t>代</t>
        </is>
      </c>
      <c r="C35" s="38" t="inlineStr">
        <is>
          <t>代休・振替休日</t>
        </is>
      </c>
      <c r="D35" s="40" t="n">
        <v>0</v>
      </c>
      <c r="E35" s="5" t="n"/>
      <c r="F35" s="41" t="inlineStr"/>
      <c r="G35" s="6" t="n"/>
      <c r="H35" s="6" t="n"/>
      <c r="I35" s="6" t="n"/>
      <c r="J35" s="6" t="n"/>
      <c r="K35" s="5" t="n"/>
      <c r="N35" s="42" t="n"/>
      <c r="O35" s="33" t="n"/>
    </row>
    <row r="36">
      <c r="B36" s="39" t="inlineStr">
        <is>
          <t>欠</t>
        </is>
      </c>
      <c r="C36" s="38" t="inlineStr">
        <is>
          <t>欠勤</t>
        </is>
      </c>
      <c r="D36" s="40" t="n">
        <v>0</v>
      </c>
      <c r="E36" s="5" t="n"/>
      <c r="F36" s="41" t="inlineStr">
        <is>
          <t>事後登録用</t>
        </is>
      </c>
      <c r="G36" s="6" t="n"/>
      <c r="H36" s="6" t="n"/>
      <c r="I36" s="6" t="n"/>
      <c r="J36" s="6" t="n"/>
      <c r="K36" s="5" t="n"/>
      <c r="N36" s="42" t="n"/>
      <c r="O36" s="33" t="n"/>
    </row>
    <row r="37">
      <c r="B37" s="39" t="inlineStr">
        <is>
          <t>在</t>
        </is>
      </c>
      <c r="C37" s="38" t="inlineStr">
        <is>
          <t>在宅勤務</t>
        </is>
      </c>
      <c r="D37" s="40" t="n">
        <v>1</v>
      </c>
      <c r="E37" s="5" t="n"/>
      <c r="F37" s="41" t="inlineStr">
        <is>
          <t>出勤扱い。所在把握のために記録</t>
        </is>
      </c>
      <c r="G37" s="6" t="n"/>
      <c r="H37" s="6" t="n"/>
      <c r="I37" s="6" t="n"/>
      <c r="J37" s="6" t="n"/>
      <c r="K37" s="5" t="n"/>
      <c r="N37" s="42" t="n"/>
      <c r="O37" s="33" t="n"/>
    </row>
    <row r="38">
      <c r="B38" s="39" t="inlineStr">
        <is>
          <t>外</t>
        </is>
      </c>
      <c r="C38" s="38" t="inlineStr">
        <is>
          <t>外出・出張</t>
        </is>
      </c>
      <c r="D38" s="40" t="n">
        <v>1</v>
      </c>
      <c r="E38" s="5" t="n"/>
      <c r="F38" s="41" t="inlineStr">
        <is>
          <t>出勤扱い。事務所に人がいない場合は別途注意</t>
        </is>
      </c>
      <c r="G38" s="6" t="n"/>
      <c r="H38" s="6" t="n"/>
      <c r="I38" s="6" t="n"/>
      <c r="J38" s="6" t="n"/>
      <c r="K38" s="5" t="n"/>
      <c r="N38" s="42" t="n"/>
      <c r="O38" s="33" t="n"/>
    </row>
    <row r="39">
      <c r="N39" s="42" t="n"/>
      <c r="O39" s="33" t="n"/>
    </row>
    <row r="40">
      <c r="N40" s="42" t="n"/>
      <c r="O40" s="33" t="n"/>
    </row>
    <row r="41">
      <c r="N41" s="42" t="n"/>
      <c r="O41" s="33" t="n"/>
    </row>
    <row r="42">
      <c r="N42" s="42" t="n"/>
      <c r="O42" s="33" t="n"/>
    </row>
    <row r="43">
      <c r="N43" s="42" t="n"/>
      <c r="O43" s="33" t="n"/>
    </row>
    <row r="44">
      <c r="N44" s="42" t="n"/>
      <c r="O44" s="33" t="n"/>
    </row>
    <row r="45">
      <c r="N45" s="42" t="n"/>
      <c r="O45" s="33" t="n"/>
    </row>
    <row r="46">
      <c r="N46" s="42" t="n"/>
      <c r="O46" s="33" t="n"/>
    </row>
    <row r="47">
      <c r="N47" s="42" t="n"/>
      <c r="O47" s="33" t="n"/>
    </row>
    <row r="48">
      <c r="N48" s="42" t="n"/>
      <c r="O48" s="33" t="n"/>
    </row>
    <row r="49">
      <c r="N49" s="42" t="n"/>
      <c r="O49" s="33" t="n"/>
    </row>
    <row r="50">
      <c r="N50" s="42" t="n"/>
      <c r="O50" s="33" t="n"/>
    </row>
    <row r="51">
      <c r="N51" s="42" t="n"/>
      <c r="O51" s="33" t="n"/>
    </row>
    <row r="52">
      <c r="N52" s="42" t="n"/>
      <c r="O52" s="33" t="n"/>
    </row>
    <row r="53">
      <c r="N53" s="42" t="n"/>
      <c r="O53" s="33" t="n"/>
    </row>
    <row r="54">
      <c r="N54" s="42" t="n"/>
      <c r="O54" s="33" t="n"/>
    </row>
    <row r="55">
      <c r="N55" s="42" t="n"/>
      <c r="O55" s="33" t="n"/>
    </row>
    <row r="56">
      <c r="N56" s="42" t="n"/>
      <c r="O56" s="33" t="n"/>
    </row>
    <row r="57">
      <c r="N57" s="42" t="n"/>
      <c r="O57" s="33" t="n"/>
    </row>
    <row r="58">
      <c r="N58" s="42" t="n"/>
      <c r="O58" s="33" t="n"/>
    </row>
    <row r="59">
      <c r="N59" s="42" t="n"/>
      <c r="O59" s="33" t="n"/>
    </row>
    <row r="60">
      <c r="N60" s="42" t="n"/>
      <c r="O60" s="33" t="n"/>
    </row>
    <row r="61">
      <c r="N61" s="42" t="n"/>
      <c r="O61" s="33" t="n"/>
    </row>
    <row r="62">
      <c r="N62" s="42" t="n"/>
      <c r="O62" s="33" t="n"/>
    </row>
    <row r="63">
      <c r="N63" s="42" t="n"/>
      <c r="O63" s="33" t="n"/>
    </row>
    <row r="64">
      <c r="N64" s="42" t="n"/>
      <c r="O64" s="33" t="n"/>
    </row>
    <row r="65">
      <c r="N65" s="42" t="n"/>
      <c r="O65" s="33" t="n"/>
    </row>
    <row r="66">
      <c r="N66" s="42" t="n"/>
      <c r="O66" s="33" t="n"/>
    </row>
    <row r="67">
      <c r="N67" s="42" t="n"/>
      <c r="O67" s="33" t="n"/>
    </row>
    <row r="68">
      <c r="N68" s="42" t="n"/>
      <c r="O68" s="33" t="n"/>
    </row>
    <row r="69">
      <c r="N69" s="42" t="n"/>
      <c r="O69" s="33" t="n"/>
    </row>
    <row r="70">
      <c r="N70" s="42" t="n"/>
      <c r="O70" s="33" t="n"/>
    </row>
    <row r="71">
      <c r="N71" s="42" t="n"/>
      <c r="O71" s="33" t="n"/>
    </row>
    <row r="72">
      <c r="N72" s="42" t="n"/>
      <c r="O72" s="33" t="n"/>
    </row>
    <row r="73">
      <c r="N73" s="42" t="n"/>
      <c r="O73" s="33" t="n"/>
    </row>
    <row r="74">
      <c r="N74" s="42" t="n"/>
      <c r="O74" s="33" t="n"/>
    </row>
    <row r="75">
      <c r="N75" s="42" t="n"/>
      <c r="O75" s="33" t="n"/>
    </row>
    <row r="76">
      <c r="N76" s="42" t="n"/>
      <c r="O76" s="33" t="n"/>
    </row>
    <row r="77">
      <c r="N77" s="42" t="n"/>
      <c r="O77" s="33" t="n"/>
    </row>
    <row r="78">
      <c r="N78" s="42" t="n"/>
      <c r="O78" s="33" t="n"/>
    </row>
    <row r="79">
      <c r="N79" s="42" t="n"/>
      <c r="O79" s="33" t="n"/>
    </row>
    <row r="80">
      <c r="N80" s="42" t="n"/>
      <c r="O80" s="33" t="n"/>
    </row>
  </sheetData>
  <mergeCells count="22">
    <mergeCell ref="C16:K16"/>
    <mergeCell ref="F33:K33"/>
    <mergeCell ref="F36:K36"/>
    <mergeCell ref="D34:E34"/>
    <mergeCell ref="F32:K32"/>
    <mergeCell ref="F35:K35"/>
    <mergeCell ref="D36:E36"/>
    <mergeCell ref="D31:E31"/>
    <mergeCell ref="F38:K38"/>
    <mergeCell ref="F31:K31"/>
    <mergeCell ref="D32:E32"/>
    <mergeCell ref="F37:K37"/>
    <mergeCell ref="D37:E37"/>
    <mergeCell ref="F29:K29"/>
    <mergeCell ref="F34:K34"/>
    <mergeCell ref="D30:E30"/>
    <mergeCell ref="B13"/>
    <mergeCell ref="D33:E33"/>
    <mergeCell ref="D29:E29"/>
    <mergeCell ref="D38:E38"/>
    <mergeCell ref="F30:K30"/>
    <mergeCell ref="D35:E35"/>
  </mergeCells>
  <dataValidations count="2">
    <dataValidation sqref="C5:C10" showDropDown="0" showInputMessage="0" showErrorMessage="0" allowBlank="1" type="list">
      <formula1>"正社員,派遣"</formula1>
    </dataValidation>
    <dataValidation sqref="C20:C26 D5:J10" showDropDown="0" showInputMessage="0" showErrorMessage="0" allowBlank="1" type="list">
      <formula1>"○,×"</formula1>
    </dataValidation>
  </dataValidations>
  <pageMargins left="0.75" right="0.75" top="1" bottom="1" header="0.5" footer="0.5"/>
  <legacyDrawing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10" customWidth="1" min="3" max="3"/>
  </cols>
  <sheetData>
    <row r="1">
      <c r="B1" s="1" t="inlineStr">
        <is>
          <t>勤怠管理（休暇調整）シート  使い方</t>
        </is>
      </c>
    </row>
    <row r="2">
      <c r="B2" s="2" t="inlineStr">
        <is>
          <t>正社員2名 + 派遣2名の少人数チーム向け。誰がいつ休むかを一箇所で見える化し、出勤人数が最低ラインを割らないように調整する。</t>
        </is>
      </c>
    </row>
    <row r="4">
      <c r="B4" s="43" t="n"/>
      <c r="C4" s="44" t="inlineStr">
        <is>
          <t>■ 基本の考え方</t>
        </is>
      </c>
    </row>
    <row r="5">
      <c r="C5" s="45" t="inlineStr">
        <is>
          <t>・入力するのは「休暇申請」シートだけ。1休暇につき1行（連休は日ごとに1行ずつ）。</t>
        </is>
      </c>
    </row>
    <row r="6">
      <c r="C6" s="45" t="inlineStr">
        <is>
          <t>・「シフト表」は年・月を切り替えるだけで自動で組み上がる。手入力はしない。</t>
        </is>
      </c>
    </row>
    <row r="7">
      <c r="C7" s="45" t="inlineStr">
        <is>
          <t>・「有給管理」は承認済みの申請から自動集計。付与日と付与日数だけ最初に入れる。</t>
        </is>
      </c>
    </row>
    <row r="8">
      <c r="C8" s="45" t="inlineStr">
        <is>
          <t>・黄色のセル = 入力する場所。灰色のセル = 自動計算（触らない）。</t>
        </is>
      </c>
    </row>
    <row r="9">
      <c r="C9" s="45" t="inlineStr"/>
    </row>
    <row r="10">
      <c r="B10" s="43" t="n"/>
      <c r="C10" s="44" t="inlineStr">
        <is>
          <t>■ 最初にやること（5分）</t>
        </is>
      </c>
    </row>
    <row r="11">
      <c r="C11" s="45" t="inlineStr">
        <is>
          <t>1. 「設定」シートでメンバー4名の氏名・区分（正社員／派遣）・勤務曜日（○×）を入れる。</t>
        </is>
      </c>
    </row>
    <row r="12">
      <c r="C12" s="45" t="inlineStr">
        <is>
          <t>2. 「設定」の最低出勤人数（初期値 2名）と、最低正社員出勤人数（初期値 1名）を確認する。</t>
        </is>
      </c>
    </row>
    <row r="13">
      <c r="C13" s="45" t="inlineStr">
        <is>
          <t>3. 「有給管理」に各人の付与日・付与日数・繰越を入れる（派遣の残数は派遣元管理なので不要）。</t>
        </is>
      </c>
    </row>
    <row r="14">
      <c r="C14" s="45" t="inlineStr">
        <is>
          <t>4. サンプルとして入っている申請4行（9/10に3人が重なって「要確認」が出る例）は削除してよい。</t>
        </is>
      </c>
    </row>
    <row r="15">
      <c r="C15" s="45" t="inlineStr"/>
    </row>
    <row r="16">
      <c r="B16" s="43" t="n"/>
      <c r="C16" s="44" t="inlineStr">
        <is>
          <t>■ 休みを取りたいとき（申請者）</t>
        </is>
      </c>
    </row>
    <row r="17">
      <c r="C17" s="45" t="inlineStr">
        <is>
          <t>1. 「休暇申請」に 申請日・氏名・休暇日・種別・理由 を1行追加する。状態は「申請中」。</t>
        </is>
      </c>
    </row>
    <row r="18">
      <c r="C18" s="45" t="inlineStr">
        <is>
          <t>2. 右側の「判定」列に「要確認」と出たら、その日は既に誰かが休む予定。日程をずらせないか先に相談する。</t>
        </is>
      </c>
    </row>
    <row r="19">
      <c r="C19" s="45" t="inlineStr">
        <is>
          <t>3. 「シフト表」でも申請中の休みは (有) のようにカッコ付きで表示される。</t>
        </is>
      </c>
    </row>
    <row r="20">
      <c r="C20" s="45" t="inlineStr"/>
    </row>
    <row r="21">
      <c r="B21" s="43" t="n"/>
      <c r="C21" s="44" t="inlineStr">
        <is>
          <t>■ 承認するとき（管理者）</t>
        </is>
      </c>
    </row>
    <row r="22">
      <c r="C22" s="45" t="inlineStr">
        <is>
          <t>1. 「シフト表」の「申請中を承認した場合の判定」行を見る。「要注意」なら承認すると最低人数を割る。</t>
        </is>
      </c>
    </row>
    <row r="23">
      <c r="C23" s="45" t="inlineStr">
        <is>
          <t>2. 問題なければ「休暇申請」の状態を「承認」に変え、承認者名を入れる。却下なら「却下」。</t>
        </is>
      </c>
    </row>
    <row r="24">
      <c r="C24" s="45" t="inlineStr">
        <is>
          <t>3. 派遣メンバーの休みは、承認と同時に派遣元（派遣会社）にも連絡する。派遣元にとっては勤怠実績＝請求根拠。</t>
        </is>
      </c>
    </row>
    <row r="25">
      <c r="C25" s="45" t="inlineStr"/>
    </row>
    <row r="26">
      <c r="B26" s="43" t="n"/>
      <c r="C26" s="44" t="inlineStr">
        <is>
          <t>■ 運用ルールの例（設定シートで文言を変えられる）</t>
        </is>
      </c>
    </row>
    <row r="27">
      <c r="C27" s="45" t="inlineStr">
        <is>
          <t>・申請は原則、休みたい日の1週間前まで。急な体調不良は当日連絡＋事後に「欠」または「有」で登録。</t>
        </is>
      </c>
    </row>
    <row r="28">
      <c r="C28" s="45" t="inlineStr">
        <is>
          <t>・同じ日に希望が重なったら「先に申請した人」ではなく「直近3か月の休み取得日数が少ない人」を優先すると不公平感が出にくい。</t>
        </is>
      </c>
    </row>
    <row r="29">
      <c r="C29" s="45" t="inlineStr">
        <is>
          <t>・派遣2名だけの出勤日は作らない（指揮命令者が不在になる）。最低正社員出勤人数=1 はそのための設定。</t>
        </is>
      </c>
    </row>
    <row r="30">
      <c r="C30" s="45" t="inlineStr">
        <is>
          <t>・正社員は年5日の有給取得義務あり。「有給管理」の「年5日義務」列が「あと○日」のままなら、管理者側から取得日を提案する。</t>
        </is>
      </c>
    </row>
    <row r="31">
      <c r="C31" s="45" t="inlineStr"/>
    </row>
    <row r="32">
      <c r="B32" s="43" t="n"/>
      <c r="C32" s="44" t="inlineStr">
        <is>
          <t>■ 記号の意味</t>
        </is>
      </c>
    </row>
    <row r="33">
      <c r="C33" s="45" t="inlineStr">
        <is>
          <t>有=有給 / 午前=午前半休 / 午後=午後半休 / 休=公休・希望休 / 欠=欠勤 / 特=特別休暇 / 代=代休 / 在=在宅勤務 / 外=外出・出張</t>
        </is>
      </c>
    </row>
    <row r="34">
      <c r="C34" s="45" t="inlineStr">
        <is>
          <t>空欄=通常出勤、－=その人の勤務曜日ではない日、灰色の列=会社の休業日（土日祝）</t>
        </is>
      </c>
    </row>
    <row r="35">
      <c r="C35" s="45" t="inlineStr"/>
    </row>
    <row r="36">
      <c r="B36" s="43" t="n"/>
      <c r="C36" s="44" t="inlineStr">
        <is>
          <t>■ 注意</t>
        </is>
      </c>
    </row>
    <row r="37">
      <c r="C37" s="45" t="inlineStr">
        <is>
          <t>・シフト表は同時に1か月しか表示しない。過去月を見たいときは年・月を戻すだけでよい（データは休暇申請に残っている）。</t>
        </is>
      </c>
    </row>
    <row r="38">
      <c r="C38" s="45" t="inlineStr">
        <is>
          <t>・休暇申請の日付は必ず日付形式（2026/9/10 のように入力）。文字として入ると集計に乗らない。</t>
        </is>
      </c>
    </row>
    <row r="39">
      <c r="C39" s="45" t="inlineStr">
        <is>
          <t>・「休暇申請」の自動列（灰色）は200行分だけ式が入っている。それを超える場合は上の行をコピーする。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2026-09-02T02:58:14Z</dcterms:created>
  <dcterms:modified xsi:type="dcterms:W3CDTF">2026-09-02T02:58:14Z</dcterms:modified>
</cp:coreProperties>
</file>